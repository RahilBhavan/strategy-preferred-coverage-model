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83db6d91b04e11" /></Relationships>
</file>

<file path=xl/workbook.xml><?xml version="1.0" encoding="utf-8"?>
<workbook xmlns="http://schemas.openxmlformats.org/spreadsheetml/2006/main" xmlns:ns1="http://schemas.openxmlformats.org/officeDocument/2006/relationships">
  <sheets>
    <sheet name="Dashboard" sheetId="1" ns1:id="R3df9450e079f488e"/>
    <sheet name="README" sheetId="2" ns1:id="Rfb9d2b2fb1314f89"/>
    <sheet name="Inputs" sheetId="3" ns1:id="Rc655af0ee0ab4907"/>
    <sheet name="Scenarios" sheetId="4" ns1:id="R3ff90d524b5543af"/>
    <sheet name="Instruments" sheetId="5" ns1:id="R7c2fc771fd5c416b"/>
    <sheet name="Obligations" sheetId="6" ns1:id="R0c2f8fbf445943aa"/>
    <sheet name="Liquidity" sheetId="7" ns1:id="R4d4d98f999354f54"/>
    <sheet name="Coverage" sheetId="8" ns1:id="R57c9e3d6053f4d03"/>
    <sheet name="Stress" sheetId="9" ns1:id="Rda863f3f3e2f4da8"/>
    <sheet name="Checks" sheetId="10" ns1:id="R2d1aba46d1e94912"/>
    <sheet name="Net NAV" sheetId="11" ns1:id="Rfa809e21e8954255"/>
    <sheet name="Quarterly path" sheetId="12" ns1:id="R679266f081084a0c"/>
    <sheet name="Native sensitivity" sheetId="13" ns1:id="Rc65203406be34b44"/>
    <sheet name="Excel review" sheetId="14" ns1:id="Rcde5cb16cedb4c6e"/>
  </sheets>
  <definedNames>
    <definedName name="BTC_Held">'Inputs'!$B$6</definedName>
    <definedName name="BTC_AvgCost">'Inputs'!$B$7</definedName>
    <definedName name="BTC_Spot">'Inputs'!$B$8</definedName>
    <definedName name="EURUSD_Spot">'Inputs'!$B$9</definedName>
    <definedName name="MSTR_Shares">'Inputs'!$B$10</definedName>
    <definedName name="MSTR_Price">'Inputs'!$B$11</definedName>
    <definedName name="MSTR_ADV">'Inputs'!$B$12</definedName>
    <definedName name="USD_Reserve">'Inputs'!$B$14</definedName>
    <definedName name="Reserve_Min_Months">'Inputs'!$B$15</definedName>
    <definedName name="USD_Cash">'Inputs'!$B$16</definedName>
    <definedName name="BTC_Monetization_Cap">'Inputs'!$B$17</definedName>
    <definedName name="ATM_MSTR_Remaining">'Inputs'!$B$18</definedName>
    <definedName name="ATM_STRF">'Inputs'!$B$19</definedName>
    <definedName name="ATM_STRC">'Inputs'!$B$20</definedName>
    <definedName name="ATM_STRK">'Inputs'!$B$21</definedName>
    <definedName name="ATM_STRD">'Inputs'!$B$22</definedName>
    <definedName name="Pref_Buyback_Remaining">'Inputs'!$B$23</definedName>
    <definedName name="Debt_Principal">'Inputs'!$B$25</definedName>
    <definedName name="Conv_Coupon_Semi">'Inputs'!$B$26</definedName>
    <definedName name="Other_Debt_Interest">'Inputs'!$B$27</definedName>
    <definedName name="Notional_STRF_In">'Inputs'!$B$29</definedName>
    <definedName name="STRC_Notional_0630">'Inputs'!$B$30</definedName>
    <definedName name="Notional_STRK_In">'Inputs'!$B$31</definedName>
    <definedName name="Notional_STRD_In">'Inputs'!$B$32</definedName>
    <definedName name="Notional_STRE_EUR">'Inputs'!$B$33</definedName>
    <definedName name="STRC_LiqPref">'Inputs'!$B$34</definedName>
    <definedName name="STRC_Repurchased_Shares">'Inputs'!$B$35</definedName>
    <definedName name="STRC_Repurchased_Since_Aug23">'Inputs'!$B$36</definedName>
    <definedName name="STRC_Issued_Shares">'Inputs'!$B$37</definedName>
    <definedName name="Rate_STRF">'Inputs'!$B$38</definedName>
    <definedName name="Rate_STRC_Base">'Inputs'!$B$39</definedName>
    <definedName name="Rate_STRK">'Inputs'!$B$40</definedName>
    <definedName name="Rate_STRD">'Inputs'!$B$41</definedName>
    <definedName name="Rate_STRE">'Inputs'!$B$42</definedName>
    <definedName name="Rank_STRF">'Inputs'!$B$44</definedName>
    <definedName name="Rank_STRC">'Inputs'!$B$45</definedName>
    <definedName name="Rank_STRE">'Inputs'!$B$46</definedName>
    <definedName name="Rank_STRK">'Inputs'!$B$47</definedName>
    <definedName name="Rank_STRD">'Inputs'!$B$48</definedName>
    <definedName name="Participation">'Inputs'!$B$50</definedName>
    <definedName name="Trading_Days">'Inputs'!$B$51</definedName>
    <definedName name="mNAV_Floor">'Inputs'!$B$52</definedName>
    <definedName name="Gate_On">'Inputs'!$B$53</definedName>
    <definedName name="ATM_Binding">'Inputs'!$B$54</definedName>
    <definedName name="Include_USD_Cash">'Inputs'!$B$55</definedName>
    <definedName name="Include_BTC_Monetization">'Inputs'!$B$56</definedName>
    <definedName name="STRK_In_Stock">'Inputs'!$B$57</definedName>
    <definedName name="Target_Years">'Inputs'!$B$58</definedName>
    <definedName name="Display_Cap">'Inputs'!$B$59</definedName>
    <definedName name="Mgmt_Annual_Estimate">'Inputs'!$B$60</definedName>
    <definedName name="Recon_Tolerance">'Inputs'!$B$61</definedName>
    <definedName name="STRC_Shares_Now">'Inputs'!$B$67</definedName>
    <definedName name="STRC_Notional_Now">'Inputs'!$B$68</definedName>
    <definedName name="Conv_Principal_Sched">'Inputs'!$B$78</definedName>
    <definedName name="Conv_Coupon_Sched">'Inputs'!$F$78</definedName>
    <definedName name="Conv_Principals">'Inputs'!$B$72:$B$77</definedName>
    <definedName name="Conv_PutDates">'Inputs'!$E$72:$E$77</definedName>
    <definedName name="Conv_Interest_Annual">'Inputs'!$B$79</definedName>
    <definedName name="L_BTC_Chg">'Scenarios'!$H$5</definedName>
    <definedName name="L_BTC">'Scenarios'!$H$6</definedName>
    <definedName name="L_mNAV">'Scenarios'!$H$7</definedName>
    <definedName name="L_STRC">'Scenarios'!$H$8</definedName>
    <definedName name="L_FX_Chg">'Scenarios'!$H$9</definedName>
    <definedName name="L_EURUSD">'Scenarios'!$H$10</definedName>
    <definedName name="L_ADV_Mult">'Scenarios'!$H$11</definedName>
    <definedName name="L_ADV">'Scenarios'!$H$12</definedName>
    <definedName name="L_Part">'Scenarios'!$H$13</definedName>
    <definedName name="Notional_STRF">'Instruments'!$J$5</definedName>
    <definedName name="Div_STRF">'Instruments'!$K$5</definedName>
    <definedName name="Div_STRF_Cash">'Instruments'!$L$5</definedName>
    <definedName name="Notional_STRC">'Instruments'!$J$6</definedName>
    <definedName name="Div_STRC">'Instruments'!$K$6</definedName>
    <definedName name="Div_STRC_Cash">'Instruments'!$L$6</definedName>
    <definedName name="Notional_STRE">'Instruments'!$J$7</definedName>
    <definedName name="Div_STRE">'Instruments'!$K$7</definedName>
    <definedName name="Div_STRE_Cash">'Instruments'!$L$7</definedName>
    <definedName name="Notional_STRK">'Instruments'!$J$8</definedName>
    <definedName name="Div_STRK">'Instruments'!$K$8</definedName>
    <definedName name="Div_STRK_Cash">'Instruments'!$L$8</definedName>
    <definedName name="Notional_STRD">'Instruments'!$J$9</definedName>
    <definedName name="Div_STRD">'Instruments'!$K$9</definedName>
    <definedName name="Div_STRD_Cash">'Instruments'!$L$9</definedName>
    <definedName name="Pref_Notional_Total">'Instruments'!$J$10</definedName>
    <definedName name="Pref_Div_Total">'Instruments'!$K$10</definedName>
    <definedName name="Pref_Cash_Div_Total">'Instruments'!$L$10</definedName>
    <definedName name="Charges_Total">'Obligations'!$C$11</definedName>
    <definedName name="Claims_Total">'Obligations'!$F$11</definedName>
    <definedName name="Puts_In_Window">'Obligations'!$B$27</definedName>
    <definedName name="Pref_Notional_Spot">'Liquidity'!$B$6</definedName>
    <definedName name="MSTR_MktCap_Now">'Liquidity'!$B$7</definedName>
    <definedName name="EV_Now">'Liquidity'!$B$8</definedName>
    <definedName name="BTC_NAV_Now">'Liquidity'!$B$9</definedName>
    <definedName name="mNAV_Now">'Liquidity'!$B$10</definedName>
    <definedName name="BTC_NAV_Live">'Liquidity'!$B$12</definedName>
    <definedName name="EV_Live">'Liquidity'!$B$13</definedName>
    <definedName name="Cash_For_EV">'Liquidity'!$B$14</definedName>
    <definedName name="MktCap_Live">'Liquidity'!$B$15</definedName>
    <definedName name="MSTR_Price_Live">'Liquidity'!$B$16</definedName>
    <definedName name="BTC_Topup">'Liquidity'!$B$18</definedName>
    <definedName name="Reserve_Live">'Liquidity'!$B$19</definedName>
    <definedName name="Reserve_Headroom">'Liquidity'!$B$20</definedName>
    <definedName name="Dollar_ADV_Live">'Liquidity'!$B$22</definedName>
    <definedName name="Volume_Cap_Year">'Liquidity'!$B$23</definedName>
    <definedName name="Gate_Closed">'Liquidity'!$B$24</definedName>
    <definedName name="Common_Per_Year">'Liquidity'!$B$25</definedName>
    <definedName name="ATM_Cap">'Liquidity'!$B$26</definedName>
    <definedName name="Dilution_Year">'Liquidity'!$B$27</definedName>
    <definedName name="BTC_Per_Year">'Liquidity'!$B$29</definedName>
    <definedName name="BTC_Pct_Year">'Liquidity'!$B$30</definedName>
    <definedName name="BTC_Years">'Liquidity'!$B$31</definedName>
    <definedName name="Cov_Reserve_Months">'Coverage'!$C$10</definedName>
    <definedName name="Cov_Years_Total">'Coverage'!$E$10</definedName>
    <definedName name="BTC_Cover_Total">'Coverage'!$G$10</definedName>
    <definedName name="BE_BTC_1x">'Coverage'!$E$14</definedName>
    <definedName name="BE_BTC_2x">'Coverage'!$E$15</definedName>
    <definedName name="BE_Drawdown_1x">'Coverage'!$E$16</definedName>
    <definedName name="Common_Needed">'Coverage'!$E$17</definedName>
    <definedName name="BE_BTC_Target">'Coverage'!$E$18</definedName>
    <definedName name="BE_mNAV_Gate">'Coverage'!$E$19</definedName>
    <definedName name="Scenario_Select">'Dashboard'!$B$4</definedName>
    <definedName name="Cmp_Years">'Dashboard'!$B$41:$F$41</definedName>
    <definedName name="Cmp_Heads">'Dashboard'!$B$31:$F$31</definedName>
    <definedName name="Checks_Status">'Checks'!$D$22</definedName>
    <definedName name="Recon_Comparable">'Checks'!$B$34</definedName>
  </definedNames>
  <calcPr calcId="0" calcMode="auto" fullCalcOnLoad="1" forceFullCalc="1"/>
</workbook>
</file>

<file path=xl/sharedStrings.xml><?xml version="1.0" encoding="utf-8"?>
<x:sst xmlns:x="http://schemas.openxmlformats.org/spreadsheetml/2006/main"/>
</file>

<file path=xl/styles.xml><?xml version="1.0" encoding="utf-8"?>
<x:styleSheet xmlns:x="http://schemas.openxmlformats.org/spreadsheetml/2006/main">
  <x:numFmts count="20">
    <x:numFmt numFmtId="164" formatCode="$#,##0;($#,##0);&quot;-&quot;"/>
    <x:numFmt numFmtId="165" formatCode="0.0000"/>
    <x:numFmt numFmtId="166" formatCode="#,##0.000"/>
    <x:numFmt numFmtId="167" formatCode="$#,##0.00"/>
    <x:numFmt numFmtId="168" formatCode="#,##0.0"/>
    <x:numFmt numFmtId="169" formatCode="#,##0.0;(#,##0.0);&quot;-&quot;"/>
    <x:numFmt numFmtId="170" formatCode="0.00%;(0.00%);&quot;-&quot;"/>
    <x:numFmt numFmtId="171" formatCode="0.0%;(0.0%);&quot;-&quot;"/>
    <x:numFmt numFmtId="172" formatCode="0.00&quot;x&quot;"/>
    <x:numFmt numFmtId="173" formatCode="0.000%"/>
    <x:numFmt numFmtId="174" formatCode="yyyy-mm-dd"/>
    <x:numFmt numFmtId="175" formatCode="[&gt;=600]&quot;&gt;=600 mo&quot;;0&quot; mo&quot;"/>
    <x:numFmt numFmtId="176" formatCode="[&gt;=50]&quot;&gt;=50 yrs&quot;;0.0&quot; yrs&quot;"/>
    <x:numFmt numFmtId="177" formatCode="0.0&quot;x&quot;"/>
    <x:numFmt numFmtId="178" formatCode="#,##0;(#,##0);&quot;-&quot;"/>
    <x:numFmt numFmtId="200" formatCode="0.000&quot;x&quot;"/>
    <x:numFmt numFmtId="201" formatCode="0.0&quot; yrs&quot;"/>
    <x:numFmt numFmtId="202" formatCode="0.0&quot; mo&quot;"/>
    <x:numFmt numFmtId="203" formatCode="0.0%"/>
    <x:numFmt numFmtId="204" formatCode="0.00%"/>
  </x:numFmts>
  <x:fonts count="18">
    <x:font>
      <x:sz val="11"/>
      <x:color theme="1"/>
      <x:name val="Calibri"/>
      <x:family val="2"/>
      <x:scheme val="minor"/>
    </x:font>
    <x:font>
      <x:b/>
      <x:sz val="16"/>
      <x:name val="Arial"/>
    </x:font>
    <x:font>
      <x:sz val="10"/>
      <x:color rgb="FF595959"/>
      <x:name val="Arial"/>
    </x:font>
    <x:font>
      <x:b/>
      <x:sz val="10"/>
      <x:color rgb="FFFFFFFF"/>
      <x:name val="Arial"/>
    </x:font>
    <x:font>
      <x:b/>
      <x:sz val="10"/>
      <x:name val="Arial"/>
    </x:font>
    <x:font>
      <x:sz val="10"/>
      <x:color rgb="FF000000"/>
      <x:name val="Arial"/>
    </x:font>
    <x:font>
      <x:sz val="10"/>
      <x:color rgb="FF0000FF"/>
      <x:name val="Arial"/>
    </x:font>
    <x:font>
      <x:u val="single"/>
      <x:sz val="9"/>
      <x:color rgb="FF0563C1"/>
      <x:name val="Arial"/>
    </x:font>
    <x:font>
      <x:i/>
      <x:sz val="9"/>
      <x:color rgb="FF595959"/>
      <x:name val="Arial"/>
    </x:font>
    <x:font>
      <x:sz val="10"/>
      <x:color rgb="FF008000"/>
      <x:name val="Arial"/>
    </x:font>
    <x:font>
      <x:b/>
      <x:sz val="12"/>
      <x:name val="Arial"/>
    </x:font>
    <x:font>
      <x:b/>
      <x:sz val="11"/>
      <x:name val="Arial"/>
    </x:font>
    <x:font>
      <x:u val="single"/>
      <x:sz val="10"/>
      <x:color rgb="FF0563C1"/>
      <x:name val="Arial"/>
    </x:font>
    <x:font>
      <x:sz val="10"/>
      <x:color rgb="FF000000"/>
      <x:name val="Arial"/>
      <x:family val="2"/>
      <x:scheme val="minor"/>
    </x:font>
    <x:font>
      <x:b/>
      <x:sz val="16"/>
      <x:color rgb="FF000000"/>
      <x:name val="Arial"/>
      <x:family val="2"/>
      <x:scheme val="minor"/>
    </x:font>
    <x:font>
      <x:b/>
      <x:sz val="10"/>
      <x:color rgb="FFFFFFFF"/>
      <x:name val="Arial"/>
      <x:family val="2"/>
      <x:scheme val="minor"/>
    </x:font>
    <x:font>
      <x:sz val="10"/>
      <x:color rgb="FF0000FF"/>
      <x:name val="Arial"/>
      <x:family val="2"/>
      <x:scheme val="minor"/>
    </x:font>
    <x:font>
      <x:b/>
      <x:sz val="10"/>
      <x:color rgb="FF000000"/>
      <x:name val="Arial"/>
      <x:family val="2"/>
      <x:scheme val="minor"/>
    </x:font>
  </x:fonts>
  <x:fills count="7">
    <x:fill>
      <x:patternFill patternType="none"/>
    </x:fill>
    <x:fill>
      <x:patternFill patternType="gray125"/>
    </x:fill>
    <x:fill>
      <x:patternFill patternType="solid">
        <x:fgColor rgb="FF1F2937"/>
      </x:patternFill>
    </x:fill>
    <x:fill>
      <x:patternFill patternType="solid">
        <x:fgColor rgb="FFE7E6E6"/>
      </x:patternFill>
    </x:fill>
    <x:fill>
      <x:patternFill patternType="solid">
        <x:fgColor rgb="FFFFFF00"/>
      </x:patternFill>
    </x:fill>
    <x:fill>
      <x:patternFill patternType="solid">
        <x:fgColor rgb="FFFCE4D6"/>
      </x:patternFill>
    </x:fill>
    <x:fill>
      <x:patternFill patternType="solid">
        <x:fgColor rgb="FF1F2937"/>
      </x:patternFill>
    </x:fill>
  </x:fills>
  <x:borders count="5">
    <x:border>
      <x:left/>
      <x:right/>
      <x:top/>
      <x:bottom/>
      <x:diagonal/>
    </x:border>
    <x:border>
      <x:top style="medium">
        <x:color rgb="FF000000"/>
      </x:top>
    </x:border>
    <x:border>
      <x:bottom style="thin">
        <x:color rgb="FFBFBFBF"/>
      </x:bottom>
    </x:border>
    <x:border>
      <x:top style="thin">
        <x:color rgb="FF000000"/>
      </x:top>
    </x:border>
    <x:border>
      <x:left/>
      <x:right/>
      <x:top/>
      <x:bottom style="thin">
        <x:color rgb="FFBFBFBF"/>
      </x:bottom>
      <x:diagonal/>
    </x:border>
  </x:borders>
  <x:cellStyleXfs count="1">
    <x:xf numFmtId="0" fontId="0" fillId="0" borderId="0"/>
  </x:cellStyleXfs>
  <x:cellXfs count="150">
    <x:xf numFmtId="0" fontId="0" fillId="0" borderId="0" xfId="0"/>
    <x:xf numFmtId="0" fontId="1" fillId="0" borderId="0" xfId="0"/>
    <x:xf numFmtId="0" fontId="2" fillId="0" borderId="0" xfId="0"/>
    <x:xf numFmtId="0" fontId="4" fillId="0" borderId="0" xfId="0"/>
    <x:xf numFmtId="0" fontId="6" fillId="4" borderId="0" xfId="0" applyAlignment="1">
      <x:alignment horizontal="center" vertical="center"/>
    </x:xf>
    <x:xf numFmtId="0" fontId="4" fillId="0" borderId="0" xfId="0" applyAlignment="1">
      <x:alignment horizontal="right"/>
    </x:xf>
    <x:xf numFmtId="0" fontId="9" fillId="0" borderId="0" xfId="0" applyAlignment="1">
      <x:alignment horizontal="center" vertical="center"/>
    </x:xf>
    <x:xf numFmtId="0" fontId="10" fillId="0" borderId="0" xfId="0" applyAlignment="1">
      <x:alignment vertical="top" wrapText="1"/>
    </x:xf>
    <x:xf numFmtId="0" fontId="3" fillId="2" borderId="0" xfId="0" applyAlignment="1">
      <x:alignment horizontal="left" vertical="center" wrapText="1"/>
    </x:xf>
    <x:xf numFmtId="0" fontId="3" fillId="2" borderId="0" xfId="0" applyAlignment="1">
      <x:alignment horizontal="center" vertical="center" wrapText="1"/>
    </x:xf>
    <x:xf numFmtId="0" fontId="5" fillId="0" borderId="2" xfId="0"/>
    <x:xf numFmtId="169" fontId="9" fillId="0" borderId="2" xfId="0" applyAlignment="1">
      <x:alignment horizontal="right"/>
    </x:xf>
    <x:xf numFmtId="0" fontId="0" fillId="0" borderId="4" xfId="0"/>
    <x:xf numFmtId="177" fontId="9" fillId="0" borderId="2" xfId="0" applyAlignment="1">
      <x:alignment horizontal="right"/>
    </x:xf>
    <x:xf numFmtId="164" fontId="9" fillId="0" borderId="2" xfId="0" applyAlignment="1">
      <x:alignment horizontal="right"/>
    </x:xf>
    <x:xf numFmtId="175" fontId="9" fillId="0" borderId="2" xfId="0" applyAlignment="1">
      <x:alignment horizontal="right"/>
    </x:xf>
    <x:xf numFmtId="171" fontId="9" fillId="0" borderId="2" xfId="0" applyAlignment="1">
      <x:alignment horizontal="right"/>
    </x:xf>
    <x:xf numFmtId="3" fontId="9" fillId="0" borderId="2" xfId="0" applyAlignment="1">
      <x:alignment horizontal="right"/>
    </x:xf>
    <x:xf numFmtId="170" fontId="9" fillId="0" borderId="2" xfId="0" applyAlignment="1">
      <x:alignment horizontal="right"/>
    </x:xf>
    <x:xf numFmtId="176" fontId="9" fillId="0" borderId="2" xfId="0" applyAlignment="1">
      <x:alignment horizontal="right"/>
    </x:xf>
    <x:xf numFmtId="0" fontId="11" fillId="0" borderId="0" xfId="0"/>
    <x:xf numFmtId="0" fontId="9" fillId="0" borderId="2" xfId="0"/>
    <x:xf numFmtId="169" fontId="9" fillId="0" borderId="2" xfId="0"/>
    <x:xf numFmtId="175" fontId="9" fillId="0" borderId="2" xfId="0"/>
    <x:xf numFmtId="176" fontId="9" fillId="0" borderId="2" xfId="0"/>
    <x:xf numFmtId="177" fontId="9" fillId="0" borderId="2" xfId="0"/>
    <x:xf numFmtId="0" fontId="8" fillId="0" borderId="0" xfId="0"/>
    <x:xf numFmtId="164" fontId="5" fillId="0" borderId="2" xfId="0" applyAlignment="1">
      <x:alignment horizontal="right"/>
    </x:xf>
    <x:xf numFmtId="172" fontId="5" fillId="0" borderId="2" xfId="0" applyAlignment="1">
      <x:alignment horizontal="right"/>
    </x:xf>
    <x:xf numFmtId="170" fontId="5" fillId="0" borderId="2" xfId="0" applyAlignment="1">
      <x:alignment horizontal="right"/>
    </x:xf>
    <x:xf numFmtId="169" fontId="5" fillId="0" borderId="2" xfId="0" applyAlignment="1">
      <x:alignment horizontal="right"/>
    </x:xf>
    <x:xf numFmtId="178" fontId="5" fillId="0" borderId="2" xfId="0" applyAlignment="1">
      <x:alignment horizontal="right"/>
    </x:xf>
    <x:xf numFmtId="0" fontId="4" fillId="0" borderId="2" xfId="0"/>
    <x:xf numFmtId="175" fontId="4" fillId="0" borderId="2" xfId="0" applyAlignment="1">
      <x:alignment horizontal="right"/>
    </x:xf>
    <x:xf numFmtId="176" fontId="4" fillId="0" borderId="2" xfId="0" applyAlignment="1">
      <x:alignment horizontal="right"/>
    </x:xf>
    <x:xf numFmtId="171" fontId="5" fillId="0" borderId="2" xfId="0" applyAlignment="1">
      <x:alignment horizontal="right"/>
    </x:xf>
    <x:xf numFmtId="177" fontId="4" fillId="0" borderId="2" xfId="0" applyAlignment="1">
      <x:alignment horizontal="right"/>
    </x:xf>
    <x:xf numFmtId="0" fontId="10" fillId="0" borderId="0" xfId="0"/>
    <x:xf numFmtId="0" fontId="5" fillId="0" borderId="0" xfId="0" applyAlignment="1">
      <x:alignment vertical="top" wrapText="1"/>
    </x:xf>
    <x:xf numFmtId="0" fontId="12" fillId="0" borderId="0" xfId="0"/>
    <x:xf numFmtId="0" fontId="4" fillId="3" borderId="0" xfId="0"/>
    <x:xf numFmtId="0" fontId="0" fillId="3" borderId="0" xfId="0"/>
    <x:xf numFmtId="0" fontId="5" fillId="0" borderId="0" xfId="0"/>
    <x:xf numFmtId="3" fontId="6" fillId="0" borderId="0" xfId="0"/>
    <x:xf numFmtId="0" fontId="7" fillId="0" borderId="0" xfId="0"/>
    <x:xf numFmtId="0" fontId="8" fillId="0" borderId="0" xfId="0" applyAlignment="1">
      <x:alignment vertical="top" wrapText="1"/>
    </x:xf>
    <x:xf numFmtId="164" fontId="6" fillId="0" borderId="0" xfId="0"/>
    <x:xf numFmtId="164" fontId="6" fillId="4" borderId="0" xfId="0"/>
    <x:xf numFmtId="165" fontId="6" fillId="0" borderId="0" xfId="0"/>
    <x:xf numFmtId="166" fontId="6" fillId="4" borderId="0" xfId="0"/>
    <x:xf numFmtId="167" fontId="6" fillId="4" borderId="0" xfId="0"/>
    <x:xf numFmtId="168" fontId="6" fillId="4" borderId="0" xfId="0"/>
    <x:xf numFmtId="169" fontId="6" fillId="0" borderId="0" xfId="0"/>
    <x:xf numFmtId="1" fontId="6" fillId="0" borderId="0" xfId="0"/>
    <x:xf numFmtId="169" fontId="6" fillId="4" borderId="0" xfId="0"/>
    <x:xf numFmtId="166" fontId="6" fillId="0" borderId="0" xfId="0"/>
    <x:xf numFmtId="170" fontId="6" fillId="0" borderId="0" xfId="0"/>
    <x:xf numFmtId="171" fontId="6" fillId="4" borderId="0" xfId="0"/>
    <x:xf numFmtId="172" fontId="6" fillId="4" borderId="0" xfId="0"/>
    <x:xf numFmtId="1" fontId="6" fillId="4" borderId="0" xfId="0"/>
    <x:xf numFmtId="171" fontId="6" fillId="0" borderId="0" xfId="0"/>
    <x:xf numFmtId="166" fontId="5" fillId="0" borderId="0" xfId="0"/>
    <x:xf numFmtId="166" fontId="4" fillId="0" borderId="1" xfId="0"/>
    <x:xf numFmtId="169" fontId="4" fillId="5" borderId="0" xfId="0"/>
    <x:xf numFmtId="173" fontId="6" fillId="0" borderId="0" xfId="0"/>
    <x:xf numFmtId="174" fontId="6" fillId="0" borderId="0" xfId="0" applyAlignment="1">
      <x:alignment horizontal="left"/>
    </x:xf>
    <x:xf numFmtId="169" fontId="5" fillId="0" borderId="0" xfId="0" applyAlignment="1">
      <x:alignment horizontal="left"/>
    </x:xf>
    <x:xf numFmtId="169" fontId="4" fillId="0" borderId="1" xfId="0"/>
    <x:xf numFmtId="169" fontId="4" fillId="0" borderId="1" xfId="0" applyAlignment="1">
      <x:alignment horizontal="left"/>
    </x:xf>
    <x:xf numFmtId="171" fontId="4" fillId="5" borderId="0" xfId="0"/>
    <x:xf numFmtId="164" fontId="5" fillId="0" borderId="0" xfId="0"/>
    <x:xf numFmtId="164" fontId="4" fillId="5" borderId="0" xfId="0"/>
    <x:xf numFmtId="172" fontId="9" fillId="0" borderId="0" xfId="0"/>
    <x:xf numFmtId="172" fontId="6" fillId="0" borderId="0" xfId="0"/>
    <x:xf numFmtId="172" fontId="4" fillId="5" borderId="0" xfId="0"/>
    <x:xf numFmtId="170" fontId="9" fillId="0" borderId="0" xfId="0"/>
    <x:xf numFmtId="170" fontId="4" fillId="5" borderId="0" xfId="0"/>
    <x:xf numFmtId="165" fontId="5" fillId="0" borderId="0" xfId="0"/>
    <x:xf numFmtId="165" fontId="4" fillId="5" borderId="0" xfId="0"/>
    <x:xf numFmtId="168" fontId="5" fillId="0" borderId="0" xfId="0"/>
    <x:xf numFmtId="168" fontId="4" fillId="5" borderId="0" xfId="0"/>
    <x:xf numFmtId="171" fontId="9" fillId="0" borderId="0" xfId="0"/>
    <x:xf numFmtId="1" fontId="9" fillId="0" borderId="0" xfId="0" applyAlignment="1">
      <x:alignment horizontal="center" vertical="center"/>
    </x:xf>
    <x:xf numFmtId="169" fontId="9" fillId="0" borderId="0" xfId="0"/>
    <x:xf numFmtId="169" fontId="5" fillId="0" borderId="0" xfId="0"/>
    <x:xf numFmtId="171" fontId="5" fillId="0" borderId="0" xfId="0"/>
    <x:xf numFmtId="0" fontId="2" fillId="0" borderId="0" xfId="0" applyAlignment="1">
      <x:alignment vertical="top" wrapText="1"/>
    </x:xf>
    <x:xf numFmtId="165" fontId="9" fillId="0" borderId="0" xfId="0"/>
    <x:xf numFmtId="0" fontId="2" fillId="0" borderId="0" xfId="0" applyAlignment="1">
      <x:alignment horizontal="right"/>
    </x:xf>
    <x:xf numFmtId="171" fontId="4" fillId="0" borderId="1" xfId="0"/>
    <x:xf numFmtId="1" fontId="5" fillId="0" borderId="0" xfId="0" applyAlignment="1">
      <x:alignment horizontal="center" vertical="center"/>
    </x:xf>
    <x:xf numFmtId="169" fontId="4" fillId="5" borderId="1" xfId="0"/>
    <x:xf numFmtId="174" fontId="6" fillId="0" borderId="0" xfId="0" applyAlignment="1">
      <x:alignment horizontal="center" vertical="center"/>
    </x:xf>
    <x:xf numFmtId="169" fontId="4" fillId="0" borderId="0" xfId="0"/>
    <x:xf numFmtId="0" fontId="5" fillId="0" borderId="0" xfId="0" applyAlignment="1">
      <x:alignment horizontal="center" vertical="center"/>
    </x:xf>
    <x:xf numFmtId="169" fontId="5" fillId="0" borderId="0" xfId="0" applyAlignment="1">
      <x:alignment horizontal="right"/>
    </x:xf>
    <x:xf numFmtId="172" fontId="4" fillId="5" borderId="0" xfId="0" applyAlignment="1">
      <x:alignment horizontal="right"/>
    </x:xf>
    <x:xf numFmtId="167" fontId="5" fillId="0" borderId="0" xfId="0" applyAlignment="1">
      <x:alignment horizontal="right"/>
    </x:xf>
    <x:xf numFmtId="169" fontId="4" fillId="5" borderId="0" xfId="0" applyAlignment="1">
      <x:alignment horizontal="right"/>
    </x:xf>
    <x:xf numFmtId="0" fontId="5" fillId="0" borderId="0" xfId="0" applyAlignment="1">
      <x:alignment horizontal="right"/>
    </x:xf>
    <x:xf numFmtId="170" fontId="5" fillId="0" borderId="0" xfId="0" applyAlignment="1">
      <x:alignment horizontal="right"/>
    </x:xf>
    <x:xf numFmtId="3" fontId="5" fillId="0" borderId="0" xfId="0" applyAlignment="1">
      <x:alignment horizontal="right"/>
    </x:xf>
    <x:xf numFmtId="170" fontId="4" fillId="5" borderId="0" xfId="0" applyAlignment="1">
      <x:alignment horizontal="right"/>
    </x:xf>
    <x:xf numFmtId="168" fontId="5" fillId="0" borderId="0" xfId="0" applyAlignment="1">
      <x:alignment horizontal="right"/>
    </x:xf>
    <x:xf numFmtId="0" fontId="9" fillId="0" borderId="0" xfId="0"/>
    <x:xf numFmtId="175" fontId="5" fillId="0" borderId="0" xfId="0"/>
    <x:xf numFmtId="176" fontId="5" fillId="0" borderId="0" xfId="0"/>
    <x:xf numFmtId="176" fontId="4" fillId="5" borderId="0" xfId="0"/>
    <x:xf numFmtId="177" fontId="5" fillId="0" borderId="0" xfId="0"/>
    <x:xf numFmtId="170" fontId="5" fillId="0" borderId="0" xfId="0"/>
    <x:xf numFmtId="164" fontId="4" fillId="5" borderId="0" xfId="0" applyAlignment="1">
      <x:alignment horizontal="right"/>
    </x:xf>
    <x:xf numFmtId="171" fontId="4" fillId="5" borderId="0" xfId="0" applyAlignment="1">
      <x:alignment horizontal="right"/>
    </x:xf>
    <x:xf numFmtId="172" fontId="6" fillId="0" borderId="2" xfId="0" applyAlignment="1">
      <x:alignment horizontal="center" vertical="center"/>
    </x:xf>
    <x:xf numFmtId="178" fontId="5" fillId="0" borderId="0" xfId="0" applyAlignment="1">
      <x:alignment horizontal="center" vertical="center"/>
    </x:xf>
    <x:xf numFmtId="164" fontId="9" fillId="5" borderId="3" xfId="0"/>
    <x:xf numFmtId="178" fontId="5" fillId="0" borderId="3" xfId="0" applyAlignment="1">
      <x:alignment horizontal="center" vertical="center"/>
    </x:xf>
    <x:xf numFmtId="176" fontId="5" fillId="0" borderId="0" xfId="0" applyAlignment="1">
      <x:alignment horizontal="center" vertical="center"/>
    </x:xf>
    <x:xf numFmtId="176" fontId="5" fillId="0" borderId="3" xfId="0" applyAlignment="1">
      <x:alignment horizontal="center" vertical="center"/>
    </x:xf>
    <x:xf numFmtId="171" fontId="5" fillId="0" borderId="0" xfId="0" applyAlignment="1">
      <x:alignment horizontal="center" vertical="center"/>
    </x:xf>
    <x:xf numFmtId="171" fontId="5" fillId="0" borderId="3" xfId="0" applyAlignment="1">
      <x:alignment horizontal="center" vertical="center"/>
    </x:xf>
    <x:xf numFmtId="177" fontId="5" fillId="0" borderId="0" xfId="0" applyAlignment="1">
      <x:alignment horizontal="center" vertical="center"/>
    </x:xf>
    <x:xf numFmtId="3" fontId="5" fillId="0" borderId="0" xfId="0" applyAlignment="1">
      <x:alignment horizontal="center" vertical="center"/>
    </x:xf>
    <x:xf numFmtId="170" fontId="5" fillId="0" borderId="0" xfId="0" applyAlignment="1">
      <x:alignment horizontal="center" vertical="center"/>
    </x:xf>
    <x:xf numFmtId="168" fontId="5" fillId="0" borderId="0" xfId="0" applyAlignment="1">
      <x:alignment horizontal="center" vertical="center"/>
    </x:xf>
    <x:xf numFmtId="4" fontId="6" fillId="0" borderId="2" xfId="0" applyAlignment="1">
      <x:alignment horizontal="center" vertical="center"/>
    </x:xf>
    <x:xf numFmtId="175" fontId="5" fillId="0" borderId="0" xfId="0" applyAlignment="1">
      <x:alignment horizontal="center" vertical="center"/>
    </x:xf>
    <x:xf numFmtId="4" fontId="5" fillId="0" borderId="0" xfId="0"/>
    <x:xf numFmtId="0" fontId="4" fillId="0" borderId="0" xfId="0" applyAlignment="1">
      <x:alignment horizontal="center" vertical="center"/>
    </x:xf>
    <x:xf numFmtId="0" fontId="13" fillId="0" borderId="0" xfId="0" applyNumberFormat="1" applyFont="1" applyFill="1" applyBorder="1"/>
    <x:xf numFmtId="0" fontId="14" fillId="0" borderId="0" xfId="0" applyNumberFormat="1" applyFont="1" applyFill="1" applyBorder="1"/>
    <x:xf numFmtId="0" fontId="13"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0" fontId="16" fillId="0" borderId="0" xfId="0" applyNumberFormat="1" applyFont="1" applyFill="1" applyBorder="1"/>
    <x:xf numFmtId="174" fontId="13" fillId="0" borderId="0" xfId="0" applyNumberFormat="1" applyFont="1" applyFill="1" applyBorder="1"/>
    <x:xf numFmtId="173" fontId="16" fillId="0" borderId="0" xfId="0" applyNumberFormat="1" applyFont="1" applyFill="1" applyBorder="1"/>
    <x:xf numFmtId="166" fontId="13" fillId="0" borderId="0" xfId="0" applyNumberFormat="1" applyFont="1" applyFill="1" applyBorder="1"/>
    <x:xf numFmtId="166" fontId="16" fillId="0" borderId="0" xfId="0" applyNumberFormat="1" applyFont="1" applyFill="1" applyBorder="1"/>
    <x:xf numFmtId="200" fontId="13" fillId="0" borderId="0" xfId="0" applyNumberFormat="1" applyFont="1" applyFill="1" applyBorder="1"/>
    <x:xf numFmtId="201" fontId="13" fillId="0" borderId="0" xfId="0" applyNumberFormat="1" applyFont="1" applyFill="1" applyBorder="1"/>
    <x:xf numFmtId="172" fontId="13" fillId="0" borderId="0" xfId="0" applyNumberFormat="1" applyFont="1" applyFill="1" applyBorder="1"/>
    <x:xf numFmtId="202" fontId="13" fillId="0" borderId="0" xfId="0" applyNumberFormat="1" applyFont="1" applyFill="1" applyBorder="1"/>
    <x:xf numFmtId="203" fontId="13" fillId="0" borderId="0" xfId="0" applyNumberFormat="1" applyFont="1" applyFill="1" applyBorder="1"/>
    <x:xf numFmtId="203" fontId="16" fillId="0" borderId="0" xfId="0" applyNumberFormat="1" applyFont="1" applyFill="1" applyBorder="1"/>
    <x:xf numFmtId="204" fontId="16" fillId="0" borderId="0" xfId="0" applyNumberFormat="1" applyFont="1" applyFill="1" applyBorder="1"/>
    <x:xf numFmtId="169" fontId="13" fillId="0" borderId="0" xfId="0" applyNumberFormat="1" applyFont="1" applyFill="1" applyBorder="1"/>
    <x:xf numFmtId="0" fontId="17" fillId="0" borderId="0" xfId="0" applyNumberFormat="1" applyFont="1" applyFill="1" applyBorder="1"/>
    <x:xf numFmtId="174" fontId="17" fillId="0" borderId="0" xfId="0" applyNumberFormat="1" applyFont="1" applyFill="1" applyBorder="1"/>
    <x:xf numFmtId="169" fontId="17" fillId="0" borderId="0" xfId="0" applyNumberFormat="1" applyFont="1" applyFill="1" applyBorder="1"/>
    <x:xf numFmtId="0" fontId="13" fillId="0" borderId="0" xfId="0" applyNumberFormat="1" applyFont="1" applyFill="1" applyBorder="1" applyAlignment="1">
      <x:alignment wrapText="1"/>
    </x:xf>
  </x:cellXfs>
  <x:cellStyles count="1">
    <x:cellStyle name="Normal" xfId="0"/>
  </x:cellStyles>
  <x:dxfs count="9">
    <x:dxf>
      <x:font>
        <x:b/>
        <x:sz val="10"/>
        <x:color rgb="00006100"/>
        <x:name val="Arial"/>
      </x:font>
      <x:fill>
        <x:patternFill>
          <x:bgColor rgb="00C6EFCE"/>
        </x:patternFill>
      </x:fill>
    </x:dxf>
    <x:dxf>
      <x:font>
        <x:b/>
        <x:sz val="10"/>
        <x:color rgb="009C0006"/>
        <x:name val="Arial"/>
      </x:font>
      <x:fill>
        <x:patternFill>
          <x:bgColor rgb="00F4CCCC"/>
        </x:patternFill>
      </x:fill>
    </x:dxf>
    <x:dxf>
      <x:fill>
        <x:patternFill>
          <x:bgColor rgb="00FFF2CC"/>
        </x:patternFill>
      </x:fill>
    </x:dxf>
    <x:dxf>
      <x:fill>
        <x:patternFill>
          <x:bgColor rgb="00F4CCCC"/>
        </x:patternFill>
      </x:fill>
    </x:dxf>
    <x:dxf>
      <x:font>
        <x:b/>
        <x:sz val="10"/>
        <x:color rgb="00000000"/>
        <x:name val="Arial"/>
      </x:font>
      <x:fill>
        <x:patternFill>
          <x:bgColor rgb="00FFFF00"/>
        </x:patternFill>
      </x:fill>
    </x:dxf>
    <x:dxf>
      <x:font>
        <x:b/>
        <x:sz val="10"/>
        <x:color rgb="007F6000"/>
        <x:name val="Arial"/>
      </x:font>
      <x:fill>
        <x:patternFill>
          <x:bgColor rgb="00FFF2CC"/>
        </x:patternFill>
      </x:fill>
    </x:dxf>
    <x:dxf>
      <x:font>
        <x:i/>
        <x:sz val="10"/>
        <x:color rgb="00595959"/>
        <x:name val="Arial"/>
      </x:font>
    </x:dxf>
    <x:dxf>
      <x:fill>
        <x:patternFill patternType="solid">
          <x:bgColor rgb="FFF4CCCC"/>
        </x:patternFill>
      </x:fill>
    </x:dxf>
    <x:dxf>
      <x:font>
        <x:color rgb="FF9C0006"/>
      </x:font>
      <x:fill>
        <x:patternFill patternType="solid">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7e4501a645440a4" /><Relationship Type="http://schemas.openxmlformats.org/officeDocument/2006/relationships/theme" Target="/xl/theme/theme1.xml" Id="Rd2322c3a02f44f3c" /><Relationship Type="http://schemas.openxmlformats.org/officeDocument/2006/relationships/sharedStrings" Target="/xl/sharedStrings.xml" Id="Rc8030fbb63f94b1c" /><Relationship Type="http://schemas.openxmlformats.org/officeDocument/2006/relationships/worksheet" Target="/xl/worksheets/sheet1.xml" Id="R3df9450e079f488e" /><Relationship Type="http://schemas.openxmlformats.org/officeDocument/2006/relationships/worksheet" Target="/xl/worksheets/sheet2.xml" Id="Rfb9d2b2fb1314f89" /><Relationship Type="http://schemas.openxmlformats.org/officeDocument/2006/relationships/worksheet" Target="/xl/worksheets/sheet3.xml" Id="Rc655af0ee0ab4907" /><Relationship Type="http://schemas.openxmlformats.org/officeDocument/2006/relationships/worksheet" Target="/xl/worksheets/sheet4.xml" Id="R3ff90d524b5543af" /><Relationship Type="http://schemas.openxmlformats.org/officeDocument/2006/relationships/worksheet" Target="/xl/worksheets/sheet5.xml" Id="R7c2fc771fd5c416b" /><Relationship Type="http://schemas.openxmlformats.org/officeDocument/2006/relationships/worksheet" Target="/xl/worksheets/sheet6.xml" Id="R0c2f8fbf445943aa" /><Relationship Type="http://schemas.openxmlformats.org/officeDocument/2006/relationships/worksheet" Target="/xl/worksheets/sheet7.xml" Id="R4d4d98f999354f54" /><Relationship Type="http://schemas.openxmlformats.org/officeDocument/2006/relationships/worksheet" Target="/xl/worksheets/sheet8.xml" Id="R57c9e3d6053f4d03" /><Relationship Type="http://schemas.openxmlformats.org/officeDocument/2006/relationships/worksheet" Target="/xl/worksheets/sheet9.xml" Id="Rda863f3f3e2f4da8" /><Relationship Type="http://schemas.openxmlformats.org/officeDocument/2006/relationships/worksheet" Target="/xl/worksheets/sheet10.xml" Id="R2d1aba46d1e94912" /><Relationship Type="http://schemas.openxmlformats.org/officeDocument/2006/relationships/worksheet" Target="/xl/worksheets/sheet11.xml" Id="Rfa809e21e8954255" /><Relationship Type="http://schemas.openxmlformats.org/officeDocument/2006/relationships/worksheet" Target="/xl/worksheets/sheet12.xml" Id="R679266f081084a0c" /><Relationship Type="http://schemas.openxmlformats.org/officeDocument/2006/relationships/worksheet" Target="/xl/worksheets/sheet13.xml" Id="Rc65203406be34b44" /><Relationship Type="http://schemas.openxmlformats.org/officeDocument/2006/relationships/worksheet" Target="/xl/worksheets/sheet14.xml" Id="Rcde5cb16cedb4c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2782d22f08d448e" /><Relationship Type="http://schemas.openxmlformats.org/officeDocument/2006/relationships/chart" Target="/xl/drawings/charts/chart2.xml" Id="R1a9e5194f1174384" /><Relationship Type="http://schemas.openxmlformats.org/officeDocument/2006/relationships/chart" Target="/xl/drawings/charts/chart3.xml" Id="R9404623a49204437" /></Relationships>
</file>

<file path=xl/drawings/_rels/drawing2.xml.rels>&#65279;<?xml version="1.0" encoding="utf-8"?><Relationships xmlns="http://schemas.openxmlformats.org/package/2006/relationships"><Relationship Type="http://schemas.openxmlformats.org/officeDocument/2006/relationships/chart" Target="/xl/drawings/charts/chart4.xml" Id="R59d82c92573f4cff" /></Relationships>
</file>

<file path=xl/drawings/charts/chart1.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Annual cash charges by claim ($m)</a:t>
            </a:r>
          </a:p>
        </c:rich>
      </c:tx>
    </c:title>
    <c:plotArea>
      <c:barChart>
        <c:barDir val="bar"/>
        <c:grouping val="clustered"/>
        <c:varyColors val="0"/>
        <c:ser>
          <c:idx val="0"/>
          <c:order val="0"/>
          <c:spPr>
            <a:solidFill xmlns:a="http://schemas.openxmlformats.org/drawingml/2006/main">
              <a:srgbClr val="7F7F7F"/>
            </a:solidFill>
            <a:ln xmlns:a="http://schemas.openxmlformats.org/drawingml/2006/main">
              <a:solidFill>
                <a:srgbClr val="000000"/>
              </a:solidFill>
              <a:prstDash val="solid"/>
            </a:ln>
          </c:spPr>
          <c:cat>
            <c:strRef>
              <c:f>'Obligations'!$A$5:$A$10</c:f>
              <c:strCache>
                <c:ptCount val="0"/>
              </c:strCache>
            </c:strRef>
          </c:cat>
          <c:val>
            <c:numRef>
              <c:f>'Obligations'!$C$5:$C$10</c:f>
              <c:numCache>
                <c:formatCode>#,##0</c:formatCode>
                <c:ptCount val="0"/>
              </c:numCache>
            </c:numRef>
          </c:val>
        </c:ser>
        <c:dLbls>
          <c:numFmt formatCode="#,##0" sourceLinked="0"/>
          <c:dLblPos val="outEnd"/>
          <c:showLegendKey val="0"/>
          <c:showVal val="1"/>
          <c:showCatName val="0"/>
          <c:showSerName val="0"/>
          <c:showPercent val="0"/>
          <c:showBubbleSize val="0"/>
          <c:showLeaderLines val="0"/>
        </c:dLbls>
        <c:gapWidth val="150"/>
        <c:axId val="10"/>
        <c:axId val="100"/>
      </c:barChart>
      <c:catAx>
        <c:axId val="10"/>
        <c:scaling>
          <c:orientation val="maxMin"/>
        </c:scaling>
        <c:delete val="0"/>
        <c:axPos val="l"/>
        <c:numFmt formatCode="General"/>
        <c:majorTickMark val="none"/>
        <c:minorTickMark val="none"/>
        <c:crossAx val="100"/>
        <c:lblOffset val="100"/>
      </c:catAx>
      <c:valAx>
        <c:axId val="100"/>
        <c:scaling>
          <c:orientation val="minMax"/>
          <c:min val="0"/>
        </c:scaling>
        <c:delete val="0"/>
        <c:axPos val="b"/>
        <c:numFmt formatCode="#,##0" sourceLinked="0"/>
        <c:majorTickMark val="none"/>
        <c:minorTickMark val="none"/>
        <c:crossAx val="10"/>
        <c:crosses val="max"/>
        <c:crossBetween val="between"/>
      </c:valAx>
    </c:plotArea>
    <c:plotVisOnly val="1"/>
    <c:dispBlanksAs val="gap"/>
  </c:chart>
</c:chartSpace>
</file>

<file path=xl/drawings/charts/chart2.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Dilution to fund a year of charges</a:t>
            </a:r>
          </a:p>
        </c:rich>
      </c:tx>
    </c:title>
    <c:plotArea>
      <c:scatterChart>
        <c:varyColors val="0"/>
        <c:ser>
          <c:idx val="0"/>
          <c:order val="0"/>
          <c:tx>
            <c:strRef>
              <c:f>'Stress'!B73</c:f>
              <c:strCache>
                <c:ptCount val="1"/>
                <c:pt idx="0">
                  <c:v/>
                </c:pt>
              </c:strCache>
            </c:strRef>
          </c:tx>
          <c:spPr>
            <a:ln xmlns:a="http://schemas.openxmlformats.org/drawingml/2006/main" w="28000">
              <a:solidFill>
                <a:srgbClr val="000000"/>
              </a:solidFill>
              <a:prstDash val="solid"/>
            </a:ln>
          </c:spPr>
          <c:marker>
            <c:symbol val="none"/>
            <c:spPr>
              <a:ln xmlns:a="http://schemas.openxmlformats.org/drawingml/2006/main">
                <a:prstDash val="solid"/>
              </a:ln>
            </c:spPr>
          </c:marker>
          <c:xVal>
            <c:numRef>
              <c:f>'Stress'!$A$74:$A$82</c:f>
              <c:numCache>
                <c:formatCode>General</c:formatCode>
                <c:ptCount val="0"/>
              </c:numCache>
            </c:numRef>
          </c:xVal>
          <c:yVal>
            <c:numRef>
              <c:f>'Stress'!$B$74:$B$82</c:f>
              <c:numCache>
                <c:formatCode>$#,##0</c:formatCode>
                <c:ptCount val="0"/>
              </c:numCache>
            </c:numRef>
          </c:yVal>
        </c:ser>
        <c:ser>
          <c:idx val="1"/>
          <c:order val="1"/>
          <c:tx>
            <c:strRef>
              <c:f>'Stress'!C73</c:f>
              <c:strCache>
                <c:ptCount val="1"/>
                <c:pt idx="0">
                  <c:v/>
                </c:pt>
              </c:strCache>
            </c:strRef>
          </c:tx>
          <c:spPr>
            <a:ln xmlns:a="http://schemas.openxmlformats.org/drawingml/2006/main" w="16000">
              <a:solidFill>
                <a:srgbClr val="595959"/>
              </a:solidFill>
              <a:prstDash val="solid"/>
            </a:ln>
          </c:spPr>
          <c:marker>
            <c:symbol val="none"/>
            <c:spPr>
              <a:ln xmlns:a="http://schemas.openxmlformats.org/drawingml/2006/main">
                <a:prstDash val="solid"/>
              </a:ln>
            </c:spPr>
          </c:marker>
          <c:xVal>
            <c:numRef>
              <c:f>'Stress'!$A$74:$A$82</c:f>
              <c:numCache>
                <c:formatCode>General</c:formatCode>
                <c:ptCount val="0"/>
              </c:numCache>
            </c:numRef>
          </c:xVal>
          <c:yVal>
            <c:numRef>
              <c:f>'Stress'!$C$74:$C$82</c:f>
              <c:numCache>
                <c:formatCode>$#,##0</c:formatCode>
                <c:ptCount val="0"/>
              </c:numCache>
            </c:numRef>
          </c:yVal>
        </c:ser>
        <c:ser>
          <c:idx val="2"/>
          <c:order val="2"/>
          <c:tx>
            <c:strRef>
              <c:f>'Stress'!D73</c:f>
              <c:strCache>
                <c:ptCount val="1"/>
                <c:pt idx="0">
                  <c:v/>
                </c:pt>
              </c:strCache>
            </c:strRef>
          </c:tx>
          <c:spPr>
            <a:ln xmlns:a="http://schemas.openxmlformats.org/drawingml/2006/main" w="16000">
              <a:solidFill>
                <a:srgbClr val="8C8C8C"/>
              </a:solidFill>
              <a:prstDash val="solid"/>
            </a:ln>
          </c:spPr>
          <c:marker>
            <c:symbol val="none"/>
            <c:spPr>
              <a:ln xmlns:a="http://schemas.openxmlformats.org/drawingml/2006/main">
                <a:prstDash val="solid"/>
              </a:ln>
            </c:spPr>
          </c:marker>
          <c:xVal>
            <c:numRef>
              <c:f>'Stress'!$A$74:$A$82</c:f>
              <c:numCache>
                <c:formatCode>General</c:formatCode>
                <c:ptCount val="0"/>
              </c:numCache>
            </c:numRef>
          </c:xVal>
          <c:yVal>
            <c:numRef>
              <c:f>'Stress'!$D$74:$D$82</c:f>
              <c:numCache>
                <c:formatCode>$#,##0</c:formatCode>
                <c:ptCount val="0"/>
              </c:numCache>
            </c:numRef>
          </c:yVal>
        </c:ser>
        <c:ser>
          <c:idx val="3"/>
          <c:order val="3"/>
          <c:tx>
            <c:strRef>
              <c:f>'Stress'!E73</c:f>
              <c:strCache>
                <c:ptCount val="1"/>
                <c:pt idx="0">
                  <c:v/>
                </c:pt>
              </c:strCache>
            </c:strRef>
          </c:tx>
          <c:spPr>
            <a:ln xmlns:a="http://schemas.openxmlformats.org/drawingml/2006/main" w="16000">
              <a:solidFill>
                <a:srgbClr val="BFBFBF"/>
              </a:solidFill>
              <a:prstDash val="solid"/>
            </a:ln>
          </c:spPr>
          <c:marker>
            <c:symbol val="none"/>
            <c:spPr>
              <a:ln xmlns:a="http://schemas.openxmlformats.org/drawingml/2006/main">
                <a:prstDash val="solid"/>
              </a:ln>
            </c:spPr>
          </c:marker>
          <c:xVal>
            <c:numRef>
              <c:f>'Stress'!$A$74:$A$82</c:f>
              <c:numCache>
                <c:formatCode>General</c:formatCode>
                <c:ptCount val="0"/>
              </c:numCache>
            </c:numRef>
          </c:xVal>
          <c:yVal>
            <c:numRef>
              <c:f>'Stress'!$E$74:$E$82</c:f>
              <c:numCache>
                <c:formatCode>$#,##0</c:formatCode>
                <c:ptCount val="0"/>
              </c:numCache>
            </c:numRef>
          </c:yVal>
        </c:ser>
        <c:axId val="20"/>
        <c:axId val="10"/>
      </c:scatterChart>
      <c:valAx>
        <c:axId val="10"/>
        <c:scaling>
          <c:orientation val="minMax"/>
          <c:max val="200000"/>
          <c:min val="0"/>
        </c:scaling>
        <c:delete val="0"/>
        <c:axPos val="l"/>
        <c:title>
          <c:tx>
            <c:rich>
              <a:bodyPr xmlns:a="http://schemas.openxmlformats.org/drawingml/2006/main"/>
              <a:lstStyle xmlns:a="http://schemas.openxmlformats.org/drawingml/2006/main"/>
              <a:p xmlns:a="http://schemas.openxmlformats.org/drawingml/2006/main">
                <a:pPr>
                  <a:buNone/>
                </a:pPr>
                <a:r>
                  <a:t>BTC price ($)</a:t>
                </a:r>
              </a:p>
            </c:rich>
          </c:tx>
        </c:title>
        <c:numFmt formatCode="$#,##0" sourceLinked="0"/>
        <c:majorTickMark val="none"/>
        <c:minorTickMark val="none"/>
        <c:crossAx val="20"/>
      </c:valAx>
      <c:valAx>
        <c:axId val="20"/>
        <c:scaling>
          <c:orientation val="minMax"/>
          <c:min val="0"/>
        </c:scaling>
        <c:delete val="0"/>
        <c:axPos val="l"/>
        <c:title>
          <c:tx>
            <c:rich>
              <a:bodyPr xmlns:a="http://schemas.openxmlformats.org/drawingml/2006/main"/>
              <a:lstStyle xmlns:a="http://schemas.openxmlformats.org/drawingml/2006/main"/>
              <a:p xmlns:a="http://schemas.openxmlformats.org/drawingml/2006/main">
                <a:pPr>
                  <a:buNone/>
                </a:pPr>
                <a:r>
                  <a:t>% of MSTR shares</a:t>
                </a:r>
              </a:p>
            </c:rich>
          </c:tx>
        </c:title>
        <c:numFmt formatCode="0%" sourceLinked="0"/>
        <c:majorTickMark val="none"/>
        <c:minorTickMark val="none"/>
        <c:crossAx val="10"/>
      </c:valAx>
    </c:plotArea>
    <c:legend>
      <c:legendPos val="r"/>
      <c:overlay val="0"/>
    </c:legend>
    <c:plotVisOnly val="1"/>
    <c:dispBlanksAs val="gap"/>
  </c:chart>
</c:chartSpace>
</file>

<file path=xl/drawings/charts/chart3.xml><?xml version="1.0" encoding="utf-8"?>
<c:chartSpace xmlns:c="http://schemas.openxmlformats.org/drawingml/2006/chart">
  <c:lang val="en-US"/>
  <c:style val="2"/>
  <c:chart>
    <c:title>
      <c:tx>
        <c:rich>
          <a:bodyPr xmlns:a="http://schemas.openxmlformats.org/drawingml/2006/main"/>
          <a:lstStyle xmlns:a="http://schemas.openxmlformats.org/drawingml/2006/main"/>
          <a:p xmlns:a="http://schemas.openxmlformats.org/drawingml/2006/main">
            <a:r>
              <a:t>USD Reserve by quarter ($m, live)</a:t>
            </a:r>
          </a:p>
        </c:rich>
      </c:tx>
    </c:title>
    <c:plotArea>
      <c:barChart>
        <c:barDir val="col"/>
        <c:grouping val="clustered"/>
        <c:varyColors val="0"/>
        <c:ser>
          <c:idx val="0"/>
          <c:order val="0"/>
          <c:spPr>
            <a:solidFill xmlns:a="http://schemas.openxmlformats.org/drawingml/2006/main">
              <a:srgbClr val="FFC000"/>
            </a:solidFill>
            <a:ln xmlns:a="http://schemas.openxmlformats.org/drawingml/2006/main">
              <a:solidFill>
                <a:srgbClr val="000000"/>
              </a:solidFill>
              <a:prstDash val="solid"/>
            </a:ln>
          </c:spPr>
          <c:cat>
            <c:strRef>
              <c:f>'Obligations'!$B$15:$I$15</c:f>
              <c:strCache>
                <c:ptCount val="0"/>
              </c:strCache>
            </c:strRef>
          </c:cat>
          <c:val>
            <c:numRef>
              <c:f>'Obligations'!$B$23:$I$23</c:f>
              <c:numCache>
                <c:formatCode>#,##0</c:formatCode>
                <c:ptCount val="0"/>
              </c:numCache>
            </c:numRef>
          </c:val>
        </c:ser>
        <c:gapWidth val="150"/>
        <c:axId val="10"/>
        <c:axId val="100"/>
      </c:barChart>
      <c:catAx>
        <c:axId val="10"/>
        <c:scaling>
          <c:orientation val="minMax"/>
        </c:scaling>
        <c:delete val="0"/>
        <c:axPos val="l"/>
        <c:numFmt formatCode="General"/>
        <c:majorTickMark val="none"/>
        <c:minorTickMark val="none"/>
        <c:crossAx val="100"/>
        <c:lblOffset val="100"/>
      </c:catAx>
      <c:valAx>
        <c:axId val="100"/>
        <c:scaling>
          <c:orientation val="minMax"/>
          <c:min val="0"/>
        </c:scaling>
        <c:delete val="0"/>
        <c:axPos val="l"/>
        <c:numFmt formatCode="#,##0" sourceLinked="0"/>
        <c:majorTickMark val="none"/>
        <c:minorTickMark val="none"/>
        <c:crossAx val="10"/>
        <c:crossBetween val="between"/>
      </c:valAx>
    </c:plotArea>
    <c:plotVisOnly val="1"/>
    <c:dispBlanksAs val="gap"/>
  </c:chart>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Ending cash after charges and puts ($m)</a:t>
            </a:r>
          </a:p>
        </c:rich>
      </c:tx>
      <c:overlay val="0"/>
    </c:title>
    <c:plotArea>
      <c:lineChart>
        <c:grouping val="standard"/>
        <c:varyColors val="0"/>
        <c:ser>
          <c:idx val="0"/>
          <c:order val="0"/>
          <c:tx>
            <c:v>Ending cash</c:v>
          </c:tx>
          <c:spPr>
            <a:ln xmlns:a="http://schemas.openxmlformats.org/drawingml/2006/main" w="19050">
              <a:solidFill>
                <a:srgbClr val="333333"/>
              </a:solidFill>
            </a:ln>
          </c:spPr>
          <c:marker>
            <c:symbol val="none"/>
          </c:marker>
          <c:cat>
            <c:strRef>
              <c:f>'Quarterly path'!$A$69:$A$88</c:f>
              <c:strCache>
                <c:ptCount val="0"/>
              </c:strCache>
            </c:strRef>
          </c:cat>
          <c:val>
            <c:numRef>
              <c:f>'Quarterly path'!$B$69:$B$88</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7</xdr:col>
      <xdr:colOff>0</xdr:colOff>
      <xdr:row>2</xdr:row>
      <xdr:rowOff>0</xdr:rowOff>
    </xdr:from>
    <xdr:ext cx="5580000" cy="2592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782d22f08d448e"/>
        </a:graphicData>
      </a:graphic>
    </xdr:graphicFrame>
    <xdr:clientData/>
  </xdr:oneCellAnchor>
  <xdr:oneCellAnchor>
    <xdr:from>
      <xdr:col>7</xdr:col>
      <xdr:colOff>0</xdr:colOff>
      <xdr:row>18</xdr:row>
      <xdr:rowOff>0</xdr:rowOff>
    </xdr:from>
    <xdr:ext cx="5580000" cy="2880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9e5194f1174384"/>
        </a:graphicData>
      </a:graphic>
    </xdr:graphicFrame>
    <xdr:clientData/>
  </xdr:oneCellAnchor>
  <xdr:oneCellAnchor>
    <xdr:from>
      <xdr:col>7</xdr:col>
      <xdr:colOff>0</xdr:colOff>
      <xdr:row>35</xdr:row>
      <xdr:rowOff>0</xdr:rowOff>
    </xdr:from>
    <xdr:ext cx="5580000" cy="25920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04623a49204437"/>
        </a:graphicData>
      </a:graphic>
    </xdr:graphicFrame>
    <xdr:clientData/>
  </xdr:oneCellAnchor>
</xdr:wsDr>
</file>

<file path=xl/drawings/drawing2.xml><?xml version="1.0" encoding="utf-8"?>
<xdr:wsDr xmlns:xdr="http://schemas.openxmlformats.org/drawingml/2006/spreadsheetDrawing">
  <xdr:twoCellAnchor>
    <xdr:from>
      <xdr:col>3</xdr:col>
      <xdr:colOff>0</xdr:colOff>
      <xdr:row>67</xdr:row>
      <xdr:rowOff>0</xdr:rowOff>
    </xdr:from>
    <xdr:to>
      <xdr:col>12</xdr:col>
      <xdr:colOff>0</xdr:colOff>
      <xdr:row>85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d82c92573f4cff"/>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987b84c60734d2a" /></Relationships>
</file>

<file path=xl/worksheets/_rels/sheet2.xml.rels>&#65279;<?xml version="1.0" encoding="utf-8"?><Relationships xmlns="http://schemas.openxmlformats.org/package/2006/relationships"><Relationship Type="http://schemas.openxmlformats.org/officeDocument/2006/relationships/hyperlink" Target="https://www.sec.gov/Archives/edgar/data/1050446/000119312526419726/mstr-ex99_1.htm" TargetMode="External" Id="Rddbdca80bdbe4a94" /><Relationship Type="http://schemas.openxmlformats.org/officeDocument/2006/relationships/hyperlink" Target="https://www.sec.gov/Archives/edgar/data/0001050446/000105044626000044/mstr-20260630.htm" TargetMode="External" Id="R05326c7c1c014cc0" /><Relationship Type="http://schemas.openxmlformats.org/officeDocument/2006/relationships/hyperlink" Target="https://www.sec.gov/Archives/edgar/data/1050446/000119312526423400/mstr-20261015.htm" TargetMode="External" Id="R8997bbbd5392471c" /><Relationship Type="http://schemas.openxmlformats.org/officeDocument/2006/relationships/hyperlink" Target="https://www.sec.gov/Archives/edgar/data/1050446/000119312526286871/mstr-20260629.htm" TargetMode="External" Id="Rf40701719c4d4a7e" /><Relationship Type="http://schemas.openxmlformats.org/officeDocument/2006/relationships/hyperlink" Target="https://www.sec.gov/Archives/edgar/data/1050446/000119312526384402/mstr-20260831.htm" TargetMode="External" Id="R9e3741c79218437e" /><Relationship Type="http://schemas.openxmlformats.org/officeDocument/2006/relationships/hyperlink" Target="https://www.sec.gov/Archives/edgar/data/1050446/000119312526363557/d431748dfwp.htm" TargetMode="External" Id="Ra9d8d47a95e146c7" /><Relationship Type="http://schemas.openxmlformats.org/officeDocument/2006/relationships/hyperlink" Target="https://www.sec.gov/Archives/edgar/data/1050446/000119312526270366/d144149dex31.htm" TargetMode="External" Id="Ra30e195c1f874eca" /><Relationship Type="http://schemas.openxmlformats.org/officeDocument/2006/relationships/hyperlink" Target="https://www.sec.gov/Archives/edgar/data/1050446/000119312525280178/d205736dex31.htm" TargetMode="External" Id="R37edf246e5b74f92" /><Relationship Type="http://schemas.openxmlformats.org/officeDocument/2006/relationships/hyperlink" Target="https://www.sec.gov/Archives/edgar/data/1050446/000105044626000020/ex42descriptionofregistere.htm" TargetMode="External" Id="Rff266cd500934857" /><Relationship Type="http://schemas.openxmlformats.org/officeDocument/2006/relationships/hyperlink" Target="https://www.sec.gov/Archives/edgar/data/1050446/000119312526413159/d503578ddef14a.htm" TargetMode="External" Id="R5f9347730a834141" /><Relationship Type="http://schemas.openxmlformats.org/officeDocument/2006/relationships/hyperlink" Target="https://www.sec.gov/Archives/edgar/data/1050446/000119312526377583/mstr-20260831.htm" TargetMode="External" Id="R019f7ce70f5d4ce3" /><Relationship Type="http://schemas.openxmlformats.org/officeDocument/2006/relationships/hyperlink" Target="https://www.ecb.europa.eu/stats/policy_and_exchange_rates/euro_reference_exchange_rates/html/eurofxref-graph-usd.en.html" TargetMode="External" Id="R28dc52fd69814522" /><Relationship Type="http://schemas.openxmlformats.org/officeDocument/2006/relationships/hyperlink" Target="https://finance.yahoo.com/quote/MSTR/history" TargetMode="External" Id="Rf05d40ffa7854c33" /></Relationships>
</file>

<file path=xl/worksheets/_rels/sheet3.xml.rels>&#65279;<?xml version="1.0" encoding="utf-8"?><Relationships xmlns="http://schemas.openxmlformats.org/package/2006/relationships"><Relationship Type="http://schemas.openxmlformats.org/officeDocument/2006/relationships/hyperlink" Target="https://www.sec.gov/Archives/edgar/data/1050446/000119312526419726/mstr-ex99_1.htm" TargetMode="External" Id="R84565be2272c4f09" /><Relationship Type="http://schemas.openxmlformats.org/officeDocument/2006/relationships/hyperlink" Target="https://www.sec.gov/Archives/edgar/data/1050446/000119312526419726/mstr-ex99_1.htm" TargetMode="External" Id="Re4506dc3f5574362" /><Relationship Type="http://schemas.openxmlformats.org/officeDocument/2006/relationships/hyperlink" Target="https://api.exchange.coinbase.com/products/BTC-USD/candles" TargetMode="External" Id="Rab5aa7067a0c40e6" /><Relationship Type="http://schemas.openxmlformats.org/officeDocument/2006/relationships/hyperlink" Target="https://www.ecb.europa.eu/stats/policy_and_exchange_rates/euro_reference_exchange_rates/html/eurofxref-graph-usd.en.html" TargetMode="External" Id="Rd060d145dbe14ff5" /><Relationship Type="http://schemas.openxmlformats.org/officeDocument/2006/relationships/hyperlink" Target="https://www.sec.gov/Archives/edgar/data/0001050446/000105044626000044/mstr-20260630.htm" TargetMode="External" Id="Reb49c518b5534221" /><Relationship Type="http://schemas.openxmlformats.org/officeDocument/2006/relationships/hyperlink" Target="https://finance.yahoo.com/quote/MSTR/history" TargetMode="External" Id="R67d506402722470b" /><Relationship Type="http://schemas.openxmlformats.org/officeDocument/2006/relationships/hyperlink" Target="https://finance.yahoo.com/quote/MSTR/history" TargetMode="External" Id="R7f8a1b3b878f4862" /><Relationship Type="http://schemas.openxmlformats.org/officeDocument/2006/relationships/hyperlink" Target="https://www.sec.gov/Archives/edgar/data/1050446/000119312526419726/mstr-ex99_1.htm" TargetMode="External" Id="Rcb982d9024f143d3" /><Relationship Type="http://schemas.openxmlformats.org/officeDocument/2006/relationships/hyperlink" Target="https://www.sec.gov/Archives/edgar/data/1050446/000119312526286871/mstr-20260629.htm" TargetMode="External" Id="Rc2887a4ff9b74c5a" /><Relationship Type="http://schemas.openxmlformats.org/officeDocument/2006/relationships/hyperlink" Target="https://www.sec.gov/Archives/edgar/data/1050446/000119312526419726/mstr-ex99_1.htm" TargetMode="External" Id="R7d0e1fd5f034494d" /><Relationship Type="http://schemas.openxmlformats.org/officeDocument/2006/relationships/hyperlink" Target="https://www.sec.gov/Archives/edgar/data/1050446/000119312526286871/mstr-20260629.htm" TargetMode="External" Id="Ra8210904b3bb4b0f" /><Relationship Type="http://schemas.openxmlformats.org/officeDocument/2006/relationships/hyperlink" Target="https://www.sec.gov/Archives/edgar/data/1050446/000119312526419726/mstr-ex99_1.htm" TargetMode="External" Id="R36b6375cf85f472a" /><Relationship Type="http://schemas.openxmlformats.org/officeDocument/2006/relationships/hyperlink" Target="https://www.sec.gov/Archives/edgar/data/1050446/000119312526419726/mstr-ex99_1.htm" TargetMode="External" Id="R50f428ec525241ba" /><Relationship Type="http://schemas.openxmlformats.org/officeDocument/2006/relationships/hyperlink" Target="https://www.sec.gov/Archives/edgar/data/1050446/000119312526419726/mstr-ex99_1.htm" TargetMode="External" Id="R5b51a2c9e594427f" /><Relationship Type="http://schemas.openxmlformats.org/officeDocument/2006/relationships/hyperlink" Target="https://www.sec.gov/Archives/edgar/data/1050446/000119312526419726/mstr-ex99_1.htm" TargetMode="External" Id="R9299c0e56a164854" /><Relationship Type="http://schemas.openxmlformats.org/officeDocument/2006/relationships/hyperlink" Target="https://www.sec.gov/Archives/edgar/data/1050446/000119312526419726/mstr-ex99_1.htm" TargetMode="External" Id="Rc9126ab2b17c478a" /><Relationship Type="http://schemas.openxmlformats.org/officeDocument/2006/relationships/hyperlink" Target="https://www.sec.gov/Archives/edgar/data/1050446/000119312526419726/mstr-ex99_1.htm" TargetMode="External" Id="R8894f3e18b514431" /><Relationship Type="http://schemas.openxmlformats.org/officeDocument/2006/relationships/hyperlink" Target="https://www.sec.gov/Archives/edgar/data/0001050446/000105044626000044/mstr-20260630.htm" TargetMode="External" Id="R653c3e565ed94dfa" /><Relationship Type="http://schemas.openxmlformats.org/officeDocument/2006/relationships/hyperlink" Target="https://www.sec.gov/Archives/edgar/data/0001050446/000105044626000044/mstr-20260630.htm" TargetMode="External" Id="R612d533871b945bc" /><Relationship Type="http://schemas.openxmlformats.org/officeDocument/2006/relationships/hyperlink" Target="https://www.sec.gov/Archives/edgar/data/0001050446/000105044626000044/mstr-20260630.htm" TargetMode="External" Id="Rcadc339b278f4161" /><Relationship Type="http://schemas.openxmlformats.org/officeDocument/2006/relationships/hyperlink" Target="https://www.sec.gov/Archives/edgar/data/0001050446/000105044626000044/mstr-20260630.htm" TargetMode="External" Id="R2171b7baf3cc407d" /><Relationship Type="http://schemas.openxmlformats.org/officeDocument/2006/relationships/hyperlink" Target="https://www.sec.gov/Archives/edgar/data/0001050446/000105044626000044/mstr-20260630.htm" TargetMode="External" Id="R868dcdf9353c4d01" /><Relationship Type="http://schemas.openxmlformats.org/officeDocument/2006/relationships/hyperlink" Target="https://www.sec.gov/Archives/edgar/data/0001050446/000105044626000044/mstr-20260630.htm" TargetMode="External" Id="Rd751f23b785e4167" /><Relationship Type="http://schemas.openxmlformats.org/officeDocument/2006/relationships/hyperlink" Target="https://www.sec.gov/Archives/edgar/data/0001050446/000105044626000044/mstr-20260630.htm" TargetMode="External" Id="Rb8f23948ec25421b" /><Relationship Type="http://schemas.openxmlformats.org/officeDocument/2006/relationships/hyperlink" Target="https://www.sec.gov/Archives/edgar/data/0001050446/000105044626000044/mstr-20260630.htm" TargetMode="External" Id="Rc6f3a90b4d894d42" /><Relationship Type="http://schemas.openxmlformats.org/officeDocument/2006/relationships/hyperlink" Target="https://www.sec.gov/Archives/edgar/data/0001050446/000105044626000044/mstr-20260630.htm" TargetMode="External" Id="R43278dca17b943a1" /><Relationship Type="http://schemas.openxmlformats.org/officeDocument/2006/relationships/hyperlink" Target="https://www.sec.gov/Archives/edgar/data/1050446/000119312526419726/mstr-ex99_1.htm" TargetMode="External" Id="Rb4cbcd73a57f4f08" /><Relationship Type="http://schemas.openxmlformats.org/officeDocument/2006/relationships/hyperlink" Target="https://www.sec.gov/Archives/edgar/data/1050446/000119312526419726/mstr-ex99_1.htm" TargetMode="External" Id="R01d2e22c23f74440" /><Relationship Type="http://schemas.openxmlformats.org/officeDocument/2006/relationships/hyperlink" Target="https://www.sec.gov/Archives/edgar/data/1050446/000119312526419726/mstr-ex99_1.htm" TargetMode="External" Id="R9422aff8ce104a53" /><Relationship Type="http://schemas.openxmlformats.org/officeDocument/2006/relationships/hyperlink" Target="https://www.sec.gov/Archives/edgar/data/0001050446/000105044626000044/mstr-20260630.htm" TargetMode="External" Id="R0655c5603b6b429d" /><Relationship Type="http://schemas.openxmlformats.org/officeDocument/2006/relationships/hyperlink" Target="https://www.sec.gov/Archives/edgar/data/1050446/000119312526423400/mstr-20261015.htm" TargetMode="External" Id="R5c9bcfc57cee4a98" /><Relationship Type="http://schemas.openxmlformats.org/officeDocument/2006/relationships/hyperlink" Target="https://www.sec.gov/Archives/edgar/data/0001050446/000105044626000044/mstr-20260630.htm" TargetMode="External" Id="Rf8955825340643f8" /><Relationship Type="http://schemas.openxmlformats.org/officeDocument/2006/relationships/hyperlink" Target="https://www.sec.gov/Archives/edgar/data/0001050446/000105044626000044/mstr-20260630.htm" TargetMode="External" Id="R8d57c9de77a146bf" /><Relationship Type="http://schemas.openxmlformats.org/officeDocument/2006/relationships/hyperlink" Target="https://www.sec.gov/Archives/edgar/data/0001050446/000105044626000044/mstr-20260630.htm" TargetMode="External" Id="R9a4c0ace91e149e4" /><Relationship Type="http://schemas.openxmlformats.org/officeDocument/2006/relationships/hyperlink" Target="https://www.sec.gov/Archives/edgar/data/0001050446/000105044626000044/mstr-20260630.htm" TargetMode="External" Id="R0e24f767fb064126" /><Relationship Type="http://schemas.openxmlformats.org/officeDocument/2006/relationships/hyperlink" Target="https://www.sec.gov/Archives/edgar/data/1050446/000119312526270366/d144149dex31.htm" TargetMode="External" Id="Rc743d34a90304769" /><Relationship Type="http://schemas.openxmlformats.org/officeDocument/2006/relationships/hyperlink" Target="https://www.sec.gov/Archives/edgar/data/1050446/000119312525280178/d205736dex31.htm" TargetMode="External" Id="R6faea9f5843646d8" /><Relationship Type="http://schemas.openxmlformats.org/officeDocument/2006/relationships/hyperlink" Target="https://www.sec.gov/Archives/edgar/data/1050446/000105044626000020/ex42descriptionofregistere.htm" TargetMode="External" Id="R87a97d722b274ca5" /><Relationship Type="http://schemas.openxmlformats.org/officeDocument/2006/relationships/hyperlink" Target="https://www.sec.gov/Archives/edgar/data/1050446/000105044626000020/ex42descriptionofregistere.htm" TargetMode="External" Id="Red28c0615788441c" /><Relationship Type="http://schemas.openxmlformats.org/officeDocument/2006/relationships/hyperlink" Target="https://www.sec.gov/Archives/edgar/data/1050446/000119312526363557/d431748dfwp.htm" TargetMode="External" Id="R43cfc48e8eb4406f" /></Relationships>
</file>

<file path=xl/worksheets/_rels/sheet12.xml.rels>&#65279;<?xml version="1.0" encoding="utf-8"?><Relationships xmlns="http://schemas.openxmlformats.org/package/2006/relationships"><Relationship Type="http://schemas.openxmlformats.org/officeDocument/2006/relationships/drawing" Target="/xl/drawings/drawing2.xml" Id="R38c9ce135dd04d2f" /></Relationships>
</file>

<file path=xl/worksheets/sheet1.xml><?xml version="1.0" encoding="utf-8"?>
<x:worksheet xmlns:x="http://schemas.openxmlformats.org/spreadsheetml/2006/main">
  <x:sheetPr>
    <x:tabColor rgb="FFFFC000"/>
  </x:sheetPr>
  <x:sheetViews>
    <x:sheetView showGridLines="0" workbookViewId="0">
      <x:pane ySplit="5" topLeftCell="A6" activePane="bottomLeft" state="frozen"/>
    </x:sheetView>
  </x:sheetViews>
  <x:sheetFormatPr baseColWidth="8" defaultRowHeight="15"/>
  <x:cols>
    <x:col min="1" max="1" width="44" customWidth="1"/>
    <x:col min="2" max="2" width="15" customWidth="1"/>
    <x:col min="3" max="3" width="15" customWidth="1"/>
    <x:col min="4" max="4" width="17" customWidth="1"/>
    <x:col min="5" max="5" width="17" customWidth="1"/>
    <x:col min="6" max="6" width="15" customWidth="1"/>
    <x:col min="7" max="7" width="3" customWidth="1"/>
  </x:cols>
  <x:sheetData>
    <x:row r="1">
      <x:c r="A1" s="1" t="inlineStr">
        <x:is>
          <x:t xml:space="preserve">Can Strategy keep paying its preferreds?</x:t>
        </x:is>
      </x:c>
    </x:row>
    <x:row r="2">
      <x:c r="A2" s="2" t="inlineStr">
        <x:is>
          <x:t xml:space="preserve">Coverage of STRF, STRC, STRE, STRK and STRD from the USD Reserve, common stock sales and bitcoin. Public filings only; not investment advice.</x:t>
        </x:is>
      </x:c>
    </x:row>
    <x:row r="4">
      <x:c r="A4" s="3" t="inlineStr">
        <x:is>
          <x:t xml:space="preserve">Scenario (pick one)</x:t>
        </x:is>
      </x:c>
      <x:c r="B4" s="4" t="inlineStr">
        <x:is>
          <x:t xml:space="preserve">Base</x:t>
        </x:is>
      </x:c>
      <x:c r="D4" s="5" t="str">
        <x:v>Workbook arithmetic</x:v>
      </x:c>
      <x:c r="E4" s="6" t="str">
        <x:f>Checks_Status</x:f>
        <x:v>ALL PASS</x:v>
      </x:c>
    </x:row>
    <x:row r="5">
      <x:c r="A5" s="2" t="str">
        <x:f>"Live: BTC $"&amp;TEXT(L_BTC,"#,##0")&amp;" | mNAV "&amp;TEXT(L_mNAV,"0.00")&amp;"x | STRC "&amp;TEXT(L_STRC,"0.0%")&amp;" | EUR/USD "&amp;TEXT(L_EURUSD,"0.0000")&amp;" | market data as of 2026-10-15"</x:f>
        <x:v>Live: BTC $82,131 | mNAV 1.17x | STRC 12.0% | EUR/USD 1.1253 | market data as of 2026-10-15</x:v>
      </x:c>
    </x:row>
    <x:row r="7" ht="18" customHeight="1">
      <x:c r="A7" s="7" t="str">
        <x:f>"Annual cash charges are $"&amp;TEXT(Charges_Total,"#,##0")&amp;"m, "&amp;TEXT(Div_STRC_Cash/Charges_Total,"0%")&amp;" of it STRC. The Reserve alone covers "&amp;TEXT(Cov_Reserve_Months,"0")&amp;" months. "&amp;IF(Gate_Closed,"Below the "&amp;TEXT(mNAV_Floor,"0.0")&amp;"x mNAV floor no common stock is sold, so that is all the cover there is.","With common stock sales: "&amp;IF(Cov_Years_Total&gt;=Display_Cap,"self-funding.",TEXT(Cov_Years_Total,"0.0")&amp;" years."))&amp;" Bitcoin covers debt + preferred "&amp;TEXT(BTC_Cover_Total,"0.0")&amp;"x and would have to fall to $"&amp;TEXT(BE_BTC_1x,"#,##0")&amp;" for 1.0x."</x:f>
        <x:v>Annual cash charges are $1,560m, 68% of it STRC. The Reserve alone covers 38 months. With common stock sales: 15.2 years. Bitcoin covers debt + preferred 3.4x and would have to fall to $24,171 for 1.0x.</x:v>
      </x:c>
    </x:row>
    <x:row r="8" ht="18" customHeight="1"/>
    <x:row r="9" ht="18" customHeight="1">
      <x:c r="A9" t="str">
        <x:v>Static coverage excludes principal repayments. Quarterly path includes puts, fees, demand and dilution. Excel verification and Q3 refresh pending.</x:v>
      </x:c>
    </x:row>
    <x:row r="10">
      <x:c r="A10" t="str">
        <x:f>"Five-year path: ending cash $"&amp;TEXT('Quarterly path'!U49,"#,##0")&amp;"M; unmet funding $"&amp;TEXT('Quarterly path'!U51,"#,##0")&amp;"M. Full cash puts assumed; no refinancing."</x:f>
        <x:v>Five-year path: ending cash $1,525M; unmet funding $0M. Full cash puts assumed; no refinancing.</x:v>
      </x:c>
    </x:row>
    <x:row r="11">
      <x:c r="A11" s="8" t="inlineStr">
        <x:is>
          <x:t xml:space="preserve">Cash and stock</x:t>
        </x:is>
      </x:c>
      <x:c r="B11" s="9" t="inlineStr">
        <x:is>
          <x:t xml:space="preserve">Live</x:t>
        </x:is>
      </x:c>
      <x:c r="D11" s="8" t="inlineStr">
        <x:is>
          <x:t xml:space="preserve">Bitcoin and debt</x:t>
        </x:is>
      </x:c>
      <x:c r="E11" s="9" t="inlineStr">
        <x:is>
          <x:t xml:space="preserve"/>
        </x:is>
      </x:c>
      <x:c r="F11" s="9" t="inlineStr">
        <x:is>
          <x:t xml:space="preserve">Live</x:t>
        </x:is>
      </x:c>
    </x:row>
    <x:row r="12">
      <x:c r="A12" s="10" t="inlineStr">
        <x:is>
          <x:t xml:space="preserve">Annual cash fixed charges ($m)</x:t>
        </x:is>
      </x:c>
      <x:c r="B12" s="11" t="n">
        <x:f>Charges_Total</x:f>
        <x:v>1559.6730019999998</x:v>
      </x:c>
      <x:c r="D12" s="10" t="inlineStr">
        <x:is>
          <x:t xml:space="preserve">Bitcoin cover of debt + preferred</x:t>
        </x:is>
      </x:c>
      <x:c r="E12" s="12" t="n"/>
      <x:c r="F12" s="13" t="n">
        <x:f>BTC_Cover_Total</x:f>
        <x:v>3.397970318186282</x:v>
      </x:c>
    </x:row>
    <x:row r="13">
      <x:c r="A13" s="10" t="inlineStr">
        <x:is>
          <x:t xml:space="preserve">USD Reserve available ($m)</x:t>
        </x:is>
      </x:c>
      <x:c r="B13" s="11" t="n">
        <x:f>Reserve_Live</x:f>
        <x:v>4880</x:v>
      </x:c>
      <x:c r="D13" s="10" t="inlineStr">
        <x:is>
          <x:t xml:space="preserve">BTC price where cover = 1.0x</x:t>
        </x:is>
      </x:c>
      <x:c r="E13" s="12" t="n"/>
      <x:c r="F13" s="14" t="n">
        <x:f>BE_BTC_1x</x:f>
        <x:v>24170.60548187444</x:v>
      </x:c>
    </x:row>
    <x:row r="14">
      <x:c r="A14" s="10" t="inlineStr">
        <x:is>
          <x:t xml:space="preserve">Reserve alone covers</x:t>
        </x:is>
      </x:c>
      <x:c r="B14" s="15" t="n">
        <x:f>Cov_Reserve_Months</x:f>
        <x:v>37.54633177910199</x:v>
      </x:c>
      <x:c r="D14" s="10" t="inlineStr">
        <x:is>
          <x:t xml:space="preserve">Fall from live BTC price to 1.0x</x:t>
        </x:is>
      </x:c>
      <x:c r="E14" s="12" t="n"/>
      <x:c r="F14" s="16" t="n">
        <x:f>BE_Drawdown_1x</x:f>
        <x:v>0.7057066700530319</x:v>
      </x:c>
    </x:row>
    <x:row r="15">
      <x:c r="A15" s="10" t="inlineStr">
        <x:is>
          <x:t xml:space="preserve">Headroom above 12-month policy ($m)</x:t>
        </x:is>
      </x:c>
      <x:c r="B15" s="11" t="n">
        <x:f>Reserve_Headroom</x:f>
        <x:v>3320.3269980000005</x:v>
      </x:c>
      <x:c r="D15" s="10" t="inlineStr">
        <x:is>
          <x:t xml:space="preserve">BTC to sell for one year of charges</x:t>
        </x:is>
      </x:c>
      <x:c r="E15" s="12" t="n"/>
      <x:c r="F15" s="17" t="n">
        <x:f>BTC_Per_Year</x:f>
        <x:v>18990.064677162092</x:v>
      </x:c>
    </x:row>
    <x:row r="16">
      <x:c r="A16" s="10" t="inlineStr">
        <x:is>
          <x:t xml:space="preserve">Common stock sales capacity per year ($m)</x:t>
        </x:is>
      </x:c>
      <x:c r="B16" s="11" t="n">
        <x:f>Common_Per_Year</x:f>
        <x:v>16775.0352</x:v>
      </x:c>
      <x:c r="D16" s="10" t="inlineStr">
        <x:is>
          <x:t xml:space="preserve">...as a share of holdings</x:t>
        </x:is>
      </x:c>
      <x:c r="E16" s="12" t="n"/>
      <x:c r="F16" s="18" t="n">
        <x:f>BTC_Pct_Year</x:f>
        <x:v>0.0223873441522689</x:v>
      </x:c>
    </x:row>
    <x:row r="17">
      <x:c r="A17" s="10" t="inlineStr">
        <x:is>
          <x:t xml:space="preserve">Reserve + common stock cover</x:t>
        </x:is>
      </x:c>
      <x:c r="B17" s="19" t="n">
        <x:f>Cov_Years_Total</x:f>
        <x:v>15.187542497449734</x:v>
      </x:c>
      <x:c r="D17" s="10" t="str">
        <x:f>"BTC price for "&amp;Target_Years&amp;" yrs of cover"</x:f>
        <x:v>BTC price for 5 yrs of cover</x:v>
      </x:c>
      <x:c r="E17" s="12" t="n"/>
      <x:c r="F17" s="14" t="n">
        <x:f>BE_BTC_Target</x:f>
        <x:v>18953.972003328803</x:v>
      </x:c>
    </x:row>
    <x:row r="18">
      <x:c r="A18" s="10" t="inlineStr">
        <x:is>
          <x:t xml:space="preserve">Dilution to fund one year of charges</x:t>
        </x:is>
      </x:c>
      <x:c r="B18" s="16" t="n">
        <x:f>Dilution_Year</x:f>
        <x:v>0.02391622229567811</x:v>
      </x:c>
      <x:c r="D18" s="10" t="inlineStr">
        <x:is>
          <x:t xml:space="preserve">Convertible puts, Oct 2026-Sep 2028 ($m)</x:t>
        </x:is>
      </x:c>
      <x:c r="E18" s="12" t="n"/>
      <x:c r="F18" s="11" t="n">
        <x:f>Puts_In_Window</x:f>
        <x:v>5913.7</x:v>
      </x:c>
    </x:row>
    <x:row r="20">
      <x:c r="A20" s="20" t="inlineStr">
        <x:is>
          <x:t xml:space="preserve">Coverage down the seniority stack (live)</x:t>
        </x:is>
      </x:c>
    </x:row>
    <x:row r="21">
      <x:c r="A21" s="8" t="inlineStr">
        <x:is>
          <x:t xml:space="preserve">Down to and including</x:t>
        </x:is>
      </x:c>
      <x:c r="B21" s="9" t="inlineStr">
        <x:is>
          <x:t xml:space="preserve">Cash charges ($m)</x:t>
        </x:is>
      </x:c>
      <x:c r="C21" s="9" t="inlineStr">
        <x:is>
          <x:t xml:space="preserve">Reserve alone</x:t>
        </x:is>
      </x:c>
      <x:c r="D21" s="9" t="inlineStr">
        <x:is>
          <x:t xml:space="preserve">Reserve + common</x:t>
        </x:is>
      </x:c>
      <x:c r="E21" s="9" t="inlineStr">
        <x:is>
          <x:t xml:space="preserve">BTC cover</x:t>
        </x:is>
      </x:c>
    </x:row>
    <x:row r="22">
      <x:c r="A22" s="21" t="str">
        <x:f>Coverage!A5</x:f>
        <x:v>Debt interest</x:v>
      </x:c>
      <x:c r="B22" s="22" t="n">
        <x:f>Coverage!B5</x:f>
        <x:v>36.6</x:v>
      </x:c>
      <x:c r="C22" s="23" t="n">
        <x:f>Coverage!C5</x:f>
        <x:v>600</x:v>
      </x:c>
      <x:c r="D22" s="24" t="n">
        <x:f>Coverage!E5</x:f>
        <x:v>50</x:v>
      </x:c>
      <x:c r="E22" s="25" t="n">
        <x:f>Coverage!G5</x:f>
        <x:v>10.321129</x:v>
      </x:c>
    </x:row>
    <x:row r="23">
      <x:c r="A23" s="21" t="str">
        <x:f>Coverage!A6</x:f>
        <x:v>STRF</x:v>
      </x:c>
      <x:c r="B23" s="22" t="n">
        <x:f>Coverage!B6</x:f>
        <x:v>164.9969</x:v>
      </x:c>
      <x:c r="C23" s="23" t="n">
        <x:f>Coverage!C6</x:f>
        <x:v>354.9157590233513</x:v>
      </x:c>
      <x:c r="D23" s="24" t="n">
        <x:f>Coverage!E6</x:f>
        <x:v>50</x:v>
      </x:c>
      <x:c r="E23" s="25" t="n">
        <x:f>Coverage!G6</x:f>
        <x:v>8.671631761337391</x:v>
      </x:c>
    </x:row>
    <x:row r="24">
      <x:c r="A24" s="21" t="str">
        <x:f>Coverage!A7</x:f>
        <x:v>STRC</x:v>
      </x:c>
      <x:c r="B24" s="22" t="n">
        <x:f>Coverage!B7</x:f>
        <x:v>1220.054132</x:v>
      </x:c>
      <x:c r="C24" s="23" t="n">
        <x:f>Coverage!C7</x:f>
        <x:v>47.9978703108888</x:v>
      </x:c>
      <x:c r="D24" s="24" t="n">
        <x:f>Coverage!E7</x:f>
        <x:v>19.415204111615598</x:v>
      </x:c>
      <x:c r="E24" s="25" t="n">
        <x:f>Coverage!G7</x:f>
        <x:v>4.140446602621689</x:v>
      </x:c>
    </x:row>
    <x:row r="25">
      <x:c r="A25" s="21" t="str">
        <x:f>Coverage!A8</x:f>
        <x:v>STRE</x:v>
      </x:c>
      <x:c r="B25" s="22" t="n">
        <x:f>Coverage!B8</x:f>
        <x:v>1307.264882</x:v>
      </x:c>
      <x:c r="C25" s="23" t="n">
        <x:f>Coverage!C8</x:f>
        <x:v>44.795818205112624</x:v>
      </x:c>
      <x:c r="D25" s="24" t="n">
        <x:f>Coverage!E8</x:f>
        <x:v>18.11996966044101</x:v>
      </x:c>
      <x:c r="E25" s="25" t="n">
        <x:f>Coverage!G8</x:f>
        <x:v>3.9364196148741537</x:v>
      </x:c>
    </x:row>
    <x:row r="26">
      <x:c r="A26" s="21" t="str">
        <x:f>Coverage!A9</x:f>
        <x:v>STRK</x:v>
      </x:c>
      <x:c r="B26" s="22" t="n">
        <x:f>Coverage!B9</x:f>
        <x:v>1419.4308019999999</x:v>
      </x:c>
      <x:c r="C26" s="23" t="n">
        <x:f>Coverage!C9</x:f>
        <x:v>41.25597381534067</x:v>
      </x:c>
      <x:c r="D26" s="24" t="n">
        <x:f>Coverage!E9</x:f>
        <x:v>16.688097768925267</x:v>
      </x:c>
      <x:c r="E26" s="25" t="n">
        <x:f>Coverage!G9</x:f>
        <x:v>3.6474632476994167</x:v>
      </x:c>
    </x:row>
    <x:row r="27">
      <x:c r="A27" s="21" t="str">
        <x:f>Coverage!A10</x:f>
        <x:v>STRD</x:v>
      </x:c>
      <x:c r="B27" s="22" t="n">
        <x:f>Coverage!B10</x:f>
        <x:v>1559.6730019999998</x:v>
      </x:c>
      <x:c r="C27" s="23" t="n">
        <x:f>Coverage!C10</x:f>
        <x:v>37.54633177910199</x:v>
      </x:c>
      <x:c r="D27" s="24" t="n">
        <x:f>Coverage!E10</x:f>
        <x:v>15.187542497449734</x:v>
      </x:c>
      <x:c r="E27" s="25" t="n">
        <x:f>Coverage!G10</x:f>
        <x:v>3.397970318186282</x:v>
      </x:c>
    </x:row>
    <x:row r="28">
      <x:c r="A28" s="26" t="inlineStr">
        <x:is>
          <x:t xml:space="preserve">Cumulative: the STRC row means the Reserve also pays debt interest and STRF, which rank ahead of it.</x:t>
        </x:is>
      </x:c>
    </x:row>
    <x:row r="30">
      <x:c r="A30" s="20" t="inlineStr">
        <x:is>
          <x:t xml:space="preserve">All five scenarios side by side (independent of the selector)</x:t>
        </x:is>
      </x:c>
    </x:row>
    <x:row r="31">
      <x:c r="A31" s="8" t="inlineStr">
        <x:is>
          <x:t xml:space="preserve">Scenario</x:t>
        </x:is>
      </x:c>
      <x:c r="B31" s="9" t="inlineStr">
        <x:is>
          <x:t xml:space="preserve">Base</x:t>
        </x:is>
      </x:c>
      <x:c r="C31" s="9" t="inlineStr">
        <x:is>
          <x:t xml:space="preserve">Bear</x:t>
        </x:is>
      </x:c>
      <x:c r="D31" s="9" t="inlineStr">
        <x:is>
          <x:t xml:space="preserve">Severe</x:t>
        </x:is>
      </x:c>
      <x:c r="E31" s="9" t="inlineStr">
        <x:is>
          <x:t xml:space="preserve">Bull</x:t>
        </x:is>
      </x:c>
      <x:c r="F31" s="9" t="inlineStr">
        <x:is>
          <x:t xml:space="preserve">Custom</x:t>
        </x:is>
      </x:c>
    </x:row>
    <x:row r="32">
      <x:c r="A32" s="10" t="inlineStr">
        <x:is>
          <x:t xml:space="preserve">BTC price</x:t>
        </x:is>
      </x:c>
      <x:c r="B32" s="27" t="n">
        <x:f>Scenarios!B6</x:f>
        <x:v>82131</x:v>
      </x:c>
      <x:c r="C32" s="27" t="n">
        <x:f>Scenarios!C6</x:f>
        <x:v>41065.5</x:v>
      </x:c>
      <x:c r="D32" s="27" t="n">
        <x:f>Scenarios!D6</x:f>
        <x:v>24639.300000000003</x:v>
      </x:c>
      <x:c r="E32" s="27" t="n">
        <x:f>Scenarios!E6</x:f>
        <x:v>123196.5</x:v>
      </x:c>
      <x:c r="F32" s="27" t="n">
        <x:f>Scenarios!F6</x:f>
        <x:v>82131</x:v>
      </x:c>
    </x:row>
    <x:row r="33">
      <x:c r="A33" s="10" t="inlineStr">
        <x:is>
          <x:t xml:space="preserve">mNAV</x:t>
        </x:is>
      </x:c>
      <x:c r="B33" s="28" t="n">
        <x:f>Scenarios!B7</x:f>
        <x:v>1.1745671782680673</x:v>
      </x:c>
      <x:c r="C33" s="28" t="n">
        <x:f>Scenarios!C7</x:f>
        <x:v>1</x:v>
      </x:c>
      <x:c r="D33" s="28" t="n">
        <x:f>Scenarios!D7</x:f>
        <x:v>0.8</x:v>
      </x:c>
      <x:c r="E33" s="28" t="n">
        <x:f>Scenarios!E7</x:f>
        <x:v>1.5</x:v>
      </x:c>
      <x:c r="F33" s="28" t="n">
        <x:f>Scenarios!F7</x:f>
        <x:v>1.2</x:v>
      </x:c>
    </x:row>
    <x:row r="34">
      <x:c r="A34" s="10" t="inlineStr">
        <x:is>
          <x:t xml:space="preserve">STRC rate</x:t>
        </x:is>
      </x:c>
      <x:c r="B34" s="29" t="n">
        <x:f>Scenarios!B8</x:f>
        <x:v>0.12</x:v>
      </x:c>
      <x:c r="C34" s="29" t="n">
        <x:f>Scenarios!C8</x:f>
        <x:v>0.13</x:v>
      </x:c>
      <x:c r="D34" s="29" t="n">
        <x:f>Scenarios!D8</x:f>
        <x:v>0.15</x:v>
      </x:c>
      <x:c r="E34" s="29" t="n">
        <x:f>Scenarios!E8</x:f>
        <x:v>0.1</x:v>
      </x:c>
      <x:c r="F34" s="29" t="n">
        <x:f>Scenarios!F8</x:f>
        <x:v>0.12</x:v>
      </x:c>
    </x:row>
    <x:row r="35">
      <x:c r="A35" s="10" t="inlineStr">
        <x:is>
          <x:t xml:space="preserve">Annual cash charges ($m)</x:t>
        </x:is>
      </x:c>
      <x:c r="B35" s="30" t="n">
        <x:f>Charges_Total-Div_STRC_Cash-Div_STRE_Cash+STRC_Notional_Now*Scenarios!B8+Notional_STRE_EUR*Scenarios!B10*Rate_STRE</x:f>
        <x:v>1559.6730019999998</x:v>
      </x:c>
      <x:c r="C35" s="30" t="n">
        <x:f>Charges_Total-Div_STRC_Cash-Div_STRE_Cash+STRC_Notional_Now*Scenarios!C8+Notional_STRE_EUR*Scenarios!C10*Rate_STRE</x:f>
        <x:v>1647.5944379999999</x:v>
      </x:c>
      <x:c r="D35" s="30" t="n">
        <x:f>Charges_Total-Div_STRC_Cash-Div_STRE_Cash+STRC_Notional_Now*Scenarios!D8+Notional_STRE_EUR*Scenarios!D10*Rate_STRE</x:f>
        <x:v>1832.1583849999997</x:v>
      </x:c>
      <x:c r="E35" s="30" t="n">
        <x:f>Charges_Total-Div_STRC_Cash-Div_STRE_Cash+STRC_Notional_Now*Scenarios!E8+Notional_STRE_EUR*Scenarios!E10*Rate_STRE</x:f>
        <x:v>1379.4695924999999</x:v>
      </x:c>
      <x:c r="F35" s="30" t="n">
        <x:f>Charges_Total-Div_STRC_Cash-Div_STRE_Cash+STRC_Notional_Now*Scenarios!F8+Notional_STRE_EUR*Scenarios!F10*Rate_STRE</x:f>
        <x:v>1559.6730019999998</x:v>
      </x:c>
    </x:row>
    <x:row r="36">
      <x:c r="A36" s="10" t="inlineStr">
        <x:is>
          <x:t xml:space="preserve">Reserve available ($m)</x:t>
        </x:is>
      </x:c>
      <x:c r="B36" s="30" t="n">
        <x:f>USD_Reserve+IF(Include_USD_Cash="Yes",USD_Cash,0)+IF(Include_BTC_Monetization="Yes",MIN(BTC_Monetization_Cap,BTC_Held*B32/1000000),0)</x:f>
        <x:v>4880</x:v>
      </x:c>
      <x:c r="C36" s="30" t="n">
        <x:f>USD_Reserve+IF(Include_USD_Cash="Yes",USD_Cash,0)+IF(Include_BTC_Monetization="Yes",MIN(BTC_Monetization_Cap,BTC_Held*C32/1000000),0)</x:f>
        <x:v>4880</x:v>
      </x:c>
      <x:c r="D36" s="30" t="n">
        <x:f>USD_Reserve+IF(Include_USD_Cash="Yes",USD_Cash,0)+IF(Include_BTC_Monetization="Yes",MIN(BTC_Monetization_Cap,BTC_Held*D32/1000000),0)</x:f>
        <x:v>4880</x:v>
      </x:c>
      <x:c r="E36" s="30" t="n">
        <x:f>USD_Reserve+IF(Include_USD_Cash="Yes",USD_Cash,0)+IF(Include_BTC_Monetization="Yes",MIN(BTC_Monetization_Cap,BTC_Held*E32/1000000),0)</x:f>
        <x:v>4880</x:v>
      </x:c>
      <x:c r="F36" s="30" t="n">
        <x:f>USD_Reserve+IF(Include_USD_Cash="Yes",USD_Cash,0)+IF(Include_BTC_Monetization="Yes",MIN(BTC_Monetization_Cap,BTC_Held*F32/1000000),0)</x:f>
        <x:v>4880</x:v>
      </x:c>
    </x:row>
    <x:row r="37">
      <x:c r="A37" s="10" t="inlineStr">
        <x:is>
          <x:t xml:space="preserve">Preferred notional ($m)</x:t>
        </x:is>
      </x:c>
      <x:c r="B37" s="30" t="n">
        <x:f>Pref_Notional_Total-Notional_STRE+Notional_STRE_EUR*Scenarios!B10</x:f>
        <x:v>13752.716100000001</x:v>
      </x:c>
      <x:c r="C37" s="30" t="n">
        <x:f>Pref_Notional_Total-Notional_STRE+Notional_STRE_EUR*Scenarios!C10</x:f>
        <x:v>13752.716100000001</x:v>
      </x:c>
      <x:c r="D37" s="30" t="n">
        <x:f>Pref_Notional_Total-Notional_STRE+Notional_STRE_EUR*Scenarios!D10</x:f>
        <x:v>13839.926850000002</x:v>
      </x:c>
      <x:c r="E37" s="30" t="n">
        <x:f>Pref_Notional_Total-Notional_STRE+Notional_STRE_EUR*Scenarios!E10</x:f>
        <x:v>13709.110725000002</x:v>
      </x:c>
      <x:c r="F37" s="30" t="n">
        <x:f>Pref_Notional_Total-Notional_STRE+Notional_STRE_EUR*Scenarios!F10</x:f>
        <x:v>13752.716100000001</x:v>
      </x:c>
    </x:row>
    <x:row r="38">
      <x:c r="A38" s="10" t="inlineStr">
        <x:is>
          <x:t xml:space="preserve">Implied MSTR market cap ($m)</x:t>
        </x:is>
      </x:c>
      <x:c r="B38" s="31" t="n">
        <x:f>MAX(0,B33*(BTC_Held*B32/1000000+Cash_For_EV-'Net NAV'!B17-B37+IF(MSTR_Price&gt;='Net NAV'!B14,Notional_STRK_In,0)))</x:f>
        <x:v>65214.02012063784</x:v>
      </x:c>
      <x:c r="C38" s="31" t="n">
        <x:f>MAX(0,C33*(BTC_Held*C32/1000000+Cash_For_EV-'Net NAV'!B17-C37+IF(MSTR_Price&gt;='Net NAV'!B14,Notional_STRK_In,0)))</x:f>
        <x:v>20687.935275</x:v>
      </x:c>
      <x:c r="D38" s="31" t="n">
        <x:f>MAX(0,D33*(BTC_Held*D32/1000000+Cash_For_EV-'Net NAV'!B17-D37+IF(MSTR_Price&gt;='Net NAV'!B14,Notional_STRK_In,0)))</x:f>
        <x:v>5333.760300000002</x:v>
      </x:c>
      <x:c r="E38" s="31" t="n">
        <x:f>MAX(0,E33*(BTC_Held*E32/1000000+Cash_For_EV-'Net NAV'!B17-E37+IF(MSTR_Price&gt;='Net NAV'!B14,Notional_STRK_In,0)))</x:f>
        <x:v>135598.7421</x:v>
      </x:c>
      <x:c r="F38" s="31" t="n">
        <x:f>MAX(0,F33*(BTC_Held*F32/1000000+Cash_For_EV-'Net NAV'!B17-F37+IF(MSTR_Price&gt;='Net NAV'!B14,Notional_STRK_In,0)))</x:f>
        <x:v>66626.09478</x:v>
      </x:c>
    </x:row>
    <x:row r="39">
      <x:c r="A39" s="10" t="inlineStr">
        <x:is>
          <x:t xml:space="preserve">Common sales per year ($m)</x:t>
        </x:is>
      </x:c>
      <x:c r="B39" s="31" t="n">
        <x:f>IF(AND(Gate_On="Yes",B33&lt;mNAV_Floor),0,Scenarios!B12*B38/'Net NAV'!B16*Scenarios!B13*Trading_Days)</x:f>
        <x:v>16775.0352</x:v>
      </x:c>
      <x:c r="C39" s="31" t="n">
        <x:f>IF(AND(Gate_On="Yes",C33&lt;mNAV_Floor),0,Scenarios!C12*C38/'Net NAV'!B16*Scenarios!C13*Trading_Days)</x:f>
        <x:v>21286.271989456516</x:v>
      </x:c>
      <x:c r="D39" s="31" t="n">
        <x:f>IF(AND(Gate_On="Yes",D33&lt;mNAV_Floor),0,Scenarios!D12*D38/'Net NAV'!B16*Scenarios!D13*Trading_Days)</x:f>
        <x:v>0</x:v>
      </x:c>
      <x:c r="E39" s="31" t="n">
        <x:f>IF(AND(Gate_On="Yes",E33&lt;mNAV_Floor),0,Scenarios!E12*E38/'Net NAV'!B16*Scenarios!E13*Trading_Days)</x:f>
        <x:v>209280.79584071258</x:v>
      </x:c>
      <x:c r="F39" s="31" t="n">
        <x:f>IF(AND(Gate_On="Yes",F33&lt;mNAV_Floor),0,Scenarios!F12*F38/'Net NAV'!B16*Scenarios!F13*Trading_Days)</x:f>
        <x:v>85691.31937469222</x:v>
      </x:c>
    </x:row>
    <x:row r="40">
      <x:c r="A40" s="32" t="inlineStr">
        <x:is>
          <x:t xml:space="preserve">Reserve alone (months)</x:t>
        </x:is>
      </x:c>
      <x:c r="B40" s="33" t="n">
        <x:f>B36/B35*12</x:f>
        <x:v>37.54633177910199</x:v>
      </x:c>
      <x:c r="C40" s="33" t="n">
        <x:f>C36/C35*12</x:f>
        <x:v>35.542727414815424</x:v>
      </x:c>
      <x:c r="D40" s="33" t="n">
        <x:f>D36/D35*12</x:f>
        <x:v>31.962302211115887</x:v>
      </x:c>
      <x:c r="E40" s="33" t="n">
        <x:f>E36/E35*12</x:f>
        <x:v>42.45109882695729</x:v>
      </x:c>
      <x:c r="F40" s="33" t="n">
        <x:f>F36/F35*12</x:f>
        <x:v>37.54633177910199</x:v>
      </x:c>
    </x:row>
    <x:row r="41">
      <x:c r="A41" s="32" t="inlineStr">
        <x:is>
          <x:t xml:space="preserve">Reserve + common (years)</x:t>
        </x:is>
      </x:c>
      <x:c r="B41" s="34" t="n">
        <x:f>MIN(Display_Cap,IF(AND(B39&lt;B35,B39*B36/(B35-B39)&lt;=ATM_Cap),B36/(B35-B39),(B36+ATM_Cap)/B35))</x:f>
        <x:v>15.187542497449734</x:v>
      </x:c>
      <x:c r="C41" s="34" t="n">
        <x:f>MIN(Display_Cap,IF(AND(C39&lt;C35,C39*C36/(C35-C39)&lt;=ATM_Cap),C36/(C35-C39),(C36+ATM_Cap)/C35))</x:f>
        <x:v>14.377081794931382</x:v>
      </x:c>
      <x:c r="D41" s="34" t="n">
        <x:f>MIN(Display_Cap,IF(AND(D39&lt;D35,D39*D36/(D35-D39)&lt;=ATM_Cap),D36/(D35-D39),(D36+ATM_Cap)/D35))</x:f>
        <x:v>2.6635251842596572</x:v>
      </x:c>
      <x:c r="E41" s="34" t="n">
        <x:f>MIN(Display_Cap,IF(AND(E39&lt;E35,E39*E36/(E35-E39)&lt;=ATM_Cap),E36/(E35-E39),(E36+ATM_Cap)/E35))</x:f>
        <x:v>17.171527468808634</x:v>
      </x:c>
      <x:c r="F41" s="34" t="n">
        <x:f>MIN(Display_Cap,IF(AND(F39&lt;F35,F39*F36/(F35-F39)&lt;=ATM_Cap),F36/(F35-F39),(F36+ATM_Cap)/F35))</x:f>
        <x:v>15.187542497449734</x:v>
      </x:c>
    </x:row>
    <x:row r="42">
      <x:c r="A42" s="10" t="inlineStr">
        <x:is>
          <x:t xml:space="preserve">Dilution for one year of charges</x:t>
        </x:is>
      </x:c>
      <x:c r="B42" s="35" t="n">
        <x:f>IF(B39=0,"gate",IF(B38=0,"wiped out",B35/B38))</x:f>
        <x:v>0.02391622229567811</x:v>
      </x:c>
      <x:c r="C42" s="35" t="n">
        <x:f>IF(C39=0,"gate",IF(C38=0,"wiped out",C35/C38))</x:f>
        <x:v>0.07964035154300819</x:v>
      </x:c>
      <x:c r="D42" s="35" t="str">
        <x:f>IF(D39=0,"gate",IF(D38=0,"wiped out",D35/D38))</x:f>
        <x:v>gate</x:v>
      </x:c>
      <x:c r="E42" s="35" t="n">
        <x:f>IF(E39=0,"gate",IF(E38=0,"wiped out",E35/E38))</x:f>
        <x:v>0.010173173962651383</x:v>
      </x:c>
      <x:c r="F42" s="35" t="n">
        <x:f>IF(F39=0,"gate",IF(F38=0,"wiped out",F35/F38))</x:f>
        <x:v>0.023409341447222065</x:v>
      </x:c>
    </x:row>
    <x:row r="43">
      <x:c r="A43" s="32" t="inlineStr">
        <x:is>
          <x:t xml:space="preserve">BTC cover of debt + preferred</x:t>
        </x:is>
      </x:c>
      <x:c r="B43" s="36" t="n">
        <x:f>BTC_Held*B32/1000000/(Debt_Principal+B37)</x:f>
        <x:v>3.3979703181862817</x:v>
      </x:c>
      <x:c r="C43" s="36" t="n">
        <x:f>BTC_Held*C32/1000000/(Debt_Principal+C37)</x:f>
        <x:v>1.6989851590931409</x:v>
      </x:c>
      <x:c r="D43" s="36" t="n">
        <x:f>BTC_Held*D32/1000000/(Debt_Principal+D37)</x:f>
        <x:v>1.015073359767667</x:v>
      </x:c>
      <x:c r="E43" s="36" t="n">
        <x:f>BTC_Held*E32/1000000/(Debt_Principal+E37)</x:f>
        <x:v>5.107818835806217</x:v>
      </x:c>
      <x:c r="F43" s="36" t="n">
        <x:f>BTC_Held*F32/1000000/(Debt_Principal+F37)</x:f>
        <x:v>3.3979703181862817</x:v>
      </x:c>
    </x:row>
    <x:row r="44">
      <x:c r="A44" s="26" t="inlineStr">
        <x:is>
          <x:t xml:space="preserve">Each column reruns the whole chain from its own levers on Scenarios. The highlighted column is the selected one and must equal the live figures (see Checks).</x:t>
        </x:is>
      </x:c>
    </x:row>
  </x:sheetData>
  <x:mergeCells>
    <x:mergeCell ref="D16:E16"/>
    <x:mergeCell ref="D15:E15"/>
    <x:mergeCell ref="D13:E13"/>
    <x:mergeCell ref="D14:E14"/>
    <x:mergeCell ref="A7:F9"/>
    <x:mergeCell ref="D18:E18"/>
    <x:mergeCell ref="D17:E17"/>
    <x:mergeCell ref="D12:E12"/>
  </x:mergeCells>
  <x:conditionalFormatting sqref="E4:E4">
    <x:cfRule type="cellIs" dxfId="0" priority="1" operator="equal">
      <x:formula>"ALL PASS"</x:formula>
    </x:cfRule>
    <x:cfRule type="cellIs" dxfId="1" priority="2" operator="notEqual">
      <x:formula>"ALL PASS"</x:formula>
    </x:cfRule>
  </x:conditionalFormatting>
  <x:conditionalFormatting sqref="B14:B14">
    <x:cfRule type="cellIs" dxfId="2" priority="3" operator="lessThan">
      <x:formula>Reserve_Min_Months</x:formula>
    </x:cfRule>
  </x:conditionalFormatting>
  <x:conditionalFormatting sqref="B15:B15">
    <x:cfRule type="cellIs" dxfId="3" priority="4" operator="lessThan">
      <x:formula>0</x:formula>
    </x:cfRule>
  </x:conditionalFormatting>
  <x:conditionalFormatting sqref="B41:F41">
    <x:cfRule type="cellIs" dxfId="2" priority="5" operator="lessThan">
      <x:formula>Target_Years</x:formula>
    </x:cfRule>
  </x:conditionalFormatting>
  <x:conditionalFormatting sqref="B40:F40">
    <x:cfRule type="cellIs" dxfId="2" priority="6" operator="lessThan">
      <x:formula>Reserve_Min_Months</x:formula>
    </x:cfRule>
  </x:conditionalFormatting>
  <x:conditionalFormatting sqref="B43:F43">
    <x:cfRule type="cellIs" dxfId="3" priority="7" operator="lessThan">
      <x:formula>1</x:formula>
    </x:cfRule>
  </x:conditionalFormatting>
  <x:conditionalFormatting sqref="B31:F31">
    <x:cfRule type="expression" dxfId="4" priority="8">
      <x:formula>B$31=Scenario_Select</x:formula>
    </x:cfRule>
  </x:conditionalFormatting>
  <x:dataValidations count="1">
    <x:dataValidation type="list" allowBlank="0" showDropDown="0" showInputMessage="0" showErrorMessage="1" errorTitle="Scenario" error="Pick Base, Bear, Severe, Bull or Custom" sqref="B4">
      <x:formula1>"Base,Bear,Severe,Bull,Custom"</x:formula1>
    </x:dataValidation>
  </x:dataValidations>
  <x:pageMargins left="0.7" right="0.7" top="0.75" bottom="0.75" header="0.3" footer="0.3"/>
  <x:drawing xmlns:r="http://schemas.openxmlformats.org/officeDocument/2006/relationships" r:id="Re987b84c60734d2a"/>
</x:worksheet>
</file>

<file path=xl/worksheets/sheet2.xml><?xml version="1.0" encoding="utf-8"?>
<x:worksheet xmlns:x="http://schemas.openxmlformats.org/spreadsheetml/2006/main">
  <x:sheetPr>
    <x:tabColor rgb="FF7F7F7F"/>
  </x:sheetPr>
  <x:sheetViews>
    <x:sheetView showGridLines="0" workbookViewId="0"/>
  </x:sheetViews>
  <x:sheetFormatPr baseColWidth="8" defaultRowHeight="15"/>
  <x:cols>
    <x:col min="1" max="1" width="125" customWidth="1"/>
  </x:cols>
  <x:sheetData>
    <x:row r="1">
      <x:c r="A1" s="1" t="inlineStr">
        <x:is>
          <x:t xml:space="preserve">README</x:t>
        </x:is>
      </x:c>
    </x:row>
    <x:row r="2">
      <x:c r="A2" s="2" t="inlineStr">
        <x:is>
          <x:t xml:space="preserve">Strategy preferred coverage model. Built from public filings; not investment advice.</x:t>
        </x:is>
      </x:c>
    </x:row>
    <x:row r="5">
      <x:c r="A5" s="37" t="inlineStr">
        <x:is>
          <x:t xml:space="preserve">The question</x:t>
        </x:is>
      </x:c>
    </x:row>
    <x:row r="6" ht="28" customHeight="1">
      <x:c r="A6" s="38" t="inlineStr">
        <x:is>
          <x:t xml:space="preserve">For STRF, STRC, STRE, STRK and STRD: how long can Strategy pay its fixed charges from the USD Reserve, from common stock it can still sell, and from bitcoin? At what bitcoin price and mNAV does each source stop being enough?</x:t>
        </x:is>
      </x:c>
    </x:row>
    <x:row r="8">
      <x:c r="A8" s="37" t="inlineStr">
        <x:is>
          <x:t xml:space="preserve">How to use it</x:t>
        </x:is>
      </x:c>
    </x:row>
    <x:row r="9" ht="28" customHeight="1">
      <x:c r="A9" s="38" t="inlineStr">
        <x:is>
          <x:t xml:space="preserve">1. Dashboard: pick a scenario in the yellow cell B4. Every sheet recalculates. The side-by-side table shows all five scenarios at once.</x:t>
        </x:is>
      </x:c>
    </x:row>
    <x:row r="10" ht="14" customHeight="1">
      <x:c r="A10" s="38" t="inlineStr">
        <x:is>
          <x:t xml:space="preserve">2. Scenarios: edit the blue levers for Bear, Severe, Bull or Custom. Base always links to the latest Inputs.</x:t>
        </x:is>
      </x:c>
    </x:row>
    <x:row r="11" ht="28" customHeight="1">
      <x:c r="A11" s="38" t="inlineStr">
        <x:is>
          <x:t xml:space="preserve">3. Inputs: refresh after each weekly 8-K or 10-Q. Each row carries its as-of date and source. Yellow cells are judgement calls; the Yes/No toggles change what counts as cash.</x:t>
        </x:is>
      </x:c>
    </x:row>
    <x:row r="12" ht="14" customHeight="1">
      <x:c r="A12" s="38" t="inlineStr">
        <x:is>
          <x:t xml:space="preserve">4. Checks: every row should read PASS. The Dashboard shows the overall status next to the selector.</x:t>
        </x:is>
      </x:c>
    </x:row>
    <x:row r="14">
      <x:c r="A14" s="37" t="inlineStr">
        <x:is>
          <x:t xml:space="preserve">Sheet map (data flows one way)</x:t>
        </x:is>
      </x:c>
    </x:row>
    <x:row r="15" ht="28" customHeight="1">
      <x:c r="A15" s="38" t="inlineStr">
        <x:is>
          <x:t xml:space="preserve">Inputs + Scenarios  -&gt;  Instruments  -&gt;  Obligations  -&gt;  Liquidity  -&gt;  Coverage  -&gt;  Stress  -&gt;  Dashboard.   Checks reads from all of them.</x:t>
        </x:is>
      </x:c>
    </x:row>
    <x:row r="17">
      <x:c r="A17" s="37" t="inlineStr">
        <x:is>
          <x:t xml:space="preserve">Colour and format key</x:t>
        </x:is>
      </x:c>
    </x:row>
    <x:row r="18" ht="28" customHeight="1">
      <x:c r="A18" s="38" t="inlineStr">
        <x:is>
          <x:t xml:space="preserve">Blue text = typed input. Black = formula. Green = link from another sheet. Yellow fill = judgement call or selector. Light orange fill = key output. Amber/red fills = below target, or below 1 year / 1.0x.</x:t>
        </x:is>
      </x:c>
    </x:row>
    <x:row r="19" ht="28" customHeight="1">
      <x:c r="A19" s="38" t="inlineStr">
        <x:is>
          <x:t xml:space="preserve">Money is in $ millions unless the header says otherwise. Percentages are stored as fractions. Coverage at or above 50 years shows as '&gt;=50 yrs', meaning common sales alone fund the charges.</x:t>
        </x:is>
      </x:c>
    </x:row>
    <x:row r="21">
      <x:c r="A21" s="37" t="inlineStr">
        <x:is>
          <x:t xml:space="preserve">Method</x:t>
        </x:is>
      </x:c>
    </x:row>
    <x:row r="22" ht="28" customHeight="1">
      <x:c r="A22" s="38" t="inlineStr">
        <x:is>
          <x:t xml:space="preserve">Cash fixed charges = each preferred's notional x rate (STRE at EUR/USD; STRK zero if paid in shares) + debt interest. Seniority from the certificates of designation: debt, then STRF &gt; STRC &gt; STRE &gt; STRK &gt; STRD.</x:t>
        </x:is>
      </x:c>
    </x:row>
    <x:row r="23" ht="28" customHeight="1">
      <x:c r="A23" s="38" t="inlineStr">
        <x:is>
          <x:t xml:space="preserve">Reserve coverage = USD Reserve / cumulative charges. USD Cash and BTC sales into the Reserve are excluded by default (toggles on Inputs). Policy requires at least 12 months of charges in the Reserve.</x:t>
        </x:is>
      </x:c>
    </x:row>
    <x:row r="24" ht="42" customHeight="1">
      <x:c r="A24" s="38" t="str">
        <x:v>Common stock: implied market cap = net mNAV x (bitcoin value - out-of-money senior claims + USD Assets). Sales per year = MSTR daily volume x implied price x participation x trading days, and zero below the mNAV floor. Total sales are capped by the remaining ATM unless the toggle assumes new programs.</x:v>
      </x:c>
    </x:row>
    <x:row r="25" ht="28" customHeight="1">
      <x:c r="A25" s="38" t="inlineStr">
        <x:is>
          <x:t xml:space="preserve">Years covered solves Reserve + min(sales x T, ATM cap) = charges x T. If sales &lt; charges and the ATM lasts, T = Reserve / (charges - sales); otherwise T = (Reserve + ATM cap) / charges.</x:t>
        </x:is>
      </x:c>
    </x:row>
    <x:row r="26" ht="28" customHeight="1">
      <x:c r="A26" s="38" t="inlineStr">
        <x:is>
          <x:t xml:space="preserve">Bitcoin cover = bitcoin NAV / (debt principal + preferred notional) through each rank. Preferred holders have no claim on the coins; this measures headroom, not security.</x:t>
        </x:is>
      </x:c>
    </x:row>
    <x:row r="27" ht="28" customHeight="1">
      <x:c r="A27" s="38" t="inlineStr">
        <x:is>
          <x:t xml:space="preserve">Breakevens are closed form on Coverage. To check one with Goal Seek: set the selector to Custom, then Data &gt; What-If Analysis &gt; Goal Seek, set the output cell to the target by changing the Custom 'BTC change' cell on Scenarios.</x:t>
        </x:is>
      </x:c>
    </x:row>
    <x:row r="28" ht="28" customHeight="1">
      <x:c r="A28" s="38" t="str">
        <x:v>Stress retains portable formula grids. Native sensitivity adds two real What-If Data Tables tied to active model inputs; Microsoft Excel behavior awaits Mac verification.</x:v>
      </x:c>
    </x:row>
    <x:row r="30">
      <x:c r="A30" s="37" t="inlineStr">
        <x:is>
          <x:t xml:space="preserve">What the base case says (as of the input date; recheck after refreshing)</x:t>
        </x:is>
      </x:c>
    </x:row>
    <x:row r="31" ht="56" customHeight="1">
      <x:c r="A31" s="38" t="str">
        <x:v>See the Dashboard headline. In short: the Reserve alone covers about three years of all cash charges before principal repayments, well above the 12-month policy minimum. STRC is about two-thirds of the bill, so its monthly rate reset is the biggest single lever. Above the mNAV floor, the remaining MSTR ATM, not the bitcoin price, sets total coverage; below it, only the Reserve is left. Separately, $5.9B of convertible principal becomes puttable between Sep 2027 and Sep 2028.</x:v>
      </x:c>
    </x:row>
    <x:row r="33">
      <x:c r="A33" s="37" t="inlineStr">
        <x:is>
          <x:t xml:space="preserve">Limits</x:t>
        </x:is>
      </x:c>
    </x:row>
    <x:row r="34" ht="84" customHeight="1">
      <x:c r="A34" s="38" t="str">
        <x:v>Public figures only, not Strategy's internal view. STRC shares and the MSTR share count are rebuilt from weekly filings, not reported directly. Market data (BTC, MSTR price, volume, EUR/USD) are point-in-time. The ATM figure is registered capacity, not demand; participation is an assumption. mNAV is an input, not a forecast, and uses a reconstructed net definition with dated dilution inputs. STRC's rate is reset monthly by management. Not modelled: taxes, fees, price impact of selling bitcoin or stock, new preferred issuance, buybacks after the as-of date, early conversion elections and cash settlement choices. The five-year path uses accrual timing and actual put dates.</x:v>
      </x:c>
    </x:row>
    <x:row r="36">
      <x:c r="A36" s="37" t="inlineStr">
        <x:is>
          <x:t xml:space="preserve">Sources</x:t>
        </x:is>
      </x:c>
    </x:row>
    <x:row r="37">
      <x:c r="A37" s="39" t="inlineStr">
        <x:is>
          <x:t xml:space="preserve">Strategy 8-K weekly update, Oct 12 2026 (Exhibit 99.1): https://www.sec.gov/Archives/edgar/data/1050446/000119312526419726/mstr-ex99_1.htm</x:t>
        </x:is>
      </x:c>
    </x:row>
    <x:row r="38">
      <x:c r="A38" s="39" t="inlineStr">
        <x:is>
          <x:t xml:space="preserve">Strategy 10-Q, quarter ended Jun 30 2026: https://www.sec.gov/Archives/edgar/data/0001050446/000105044626000044/mstr-20260630.htm</x:t>
        </x:is>
      </x:c>
    </x:row>
    <x:row r="39">
      <x:c r="A39" s="39" t="inlineStr">
        <x:is>
          <x:t xml:space="preserve">Strategy 8-K, STRC rate and November daily dividends, Oct 16 2026: https://www.sec.gov/Archives/edgar/data/1050446/000119312526423400/mstr-20261015.htm</x:t>
        </x:is>
      </x:c>
    </x:row>
    <x:row r="40">
      <x:c r="A40" s="39" t="inlineStr">
        <x:is>
          <x:t xml:space="preserve">Strategy 8-K, Digital Credit Capital Framework, Jun 29 2026: https://www.sec.gov/Archives/edgar/data/1050446/000119312526286871/mstr-20260629.htm</x:t>
        </x:is>
      </x:c>
    </x:row>
    <x:row r="41">
      <x:c r="A41" s="39" t="inlineStr">
        <x:is>
          <x:t xml:space="preserve">Strategy 8-K, preferred buyback raised to $2.0B, Sep 8 2026: https://www.sec.gov/Archives/edgar/data/1050446/000119312526384402/mstr-20260831.htm</x:t>
        </x:is>
      </x:c>
    </x:row>
    <x:row r="42">
      <x:c r="A42" s="39" t="inlineStr">
        <x:is>
          <x:t xml:space="preserve">Strategy FWP, $1.703B annual obligations, Aug 24 2026: https://www.sec.gov/Archives/edgar/data/1050446/000119312526363557/d431748dfwp.htm</x:t>
        </x:is>
      </x:c>
    </x:row>
    <x:row r="43">
      <x:c r="A43" s="39" t="inlineStr">
        <x:is>
          <x:t xml:space="preserve">Amended STRC certificate of designations, Jun 15 2026: https://www.sec.gov/Archives/edgar/data/1050446/000119312526270366/d144149dex31.htm</x:t>
        </x:is>
      </x:c>
    </x:row>
    <x:row r="44">
      <x:c r="A44" s="39" t="inlineStr">
        <x:is>
          <x:t xml:space="preserve">STRE certificate of designations, Nov 12 2025: https://www.sec.gov/Archives/edgar/data/1050446/000119312525280178/d205736dex31.htm</x:t>
        </x:is>
      </x:c>
    </x:row>
    <x:row r="45">
      <x:c r="A45" s="39" t="inlineStr">
        <x:is>
          <x:t xml:space="preserve">10-K Exhibit 4.2, description of securities: https://www.sec.gov/Archives/edgar/data/1050446/000105044626000020/ex42descriptionofregistere.htm</x:t>
        </x:is>
      </x:c>
    </x:row>
    <x:row r="46">
      <x:c r="A46" s="39" t="inlineStr">
        <x:is>
          <x:t xml:space="preserve">Definitive proxy, daily dividends special meeting Oct 28 2026: https://www.sec.gov/Archives/edgar/data/1050446/000119312526413159/d503578ddef14a.htm</x:t>
        </x:is>
      </x:c>
    </x:row>
    <x:row r="47">
      <x:c r="A47" s="39" t="inlineStr">
        <x:is>
          <x:t xml:space="preserve">STRE dividend declaration, 8-K Aug 31 2026: https://www.sec.gov/Archives/edgar/data/1050446/000119312526377583/mstr-20260831.htm</x:t>
        </x:is>
      </x:c>
    </x:row>
    <x:row r="48">
      <x:c r="A48" s="39" t="inlineStr">
        <x:is>
          <x:t xml:space="preserve">ECB euro reference rates: https://www.ecb.europa.eu/stats/policy_and_exchange_rates/euro_reference_exchange_rates/html/eurofxref-graph-usd.en.html</x:t>
        </x:is>
      </x:c>
    </x:row>
    <x:row r="49">
      <x:c r="A49" s="39" t="inlineStr">
        <x:is>
          <x:t xml:space="preserve">Yahoo Finance MSTR price history (secondary): https://finance.yahoo.com/quote/MSTR/history</x:t>
        </x:is>
      </x:c>
    </x:row>
    <x:row r="51">
      <x:c r="A51" s="37" t="inlineStr">
        <x:is>
          <x:t xml:space="preserve">Version</x:t>
        </x:is>
      </x:c>
    </x:row>
    <x:row r="52" ht="14" customHeight="1">
      <x:c r="A52" s="38" t="inlineStr">
        <x:is>
          <x:t xml:space="preserve">v1.0, built 2026-10-16 from inputs as of 2026-10-15. Refresh after Strategy's Q3 2026 10-Q.</x:t>
        </x:is>
      </x:c>
    </x:row>
  </x:sheetData>
  <x:hyperlinks>
    <x:hyperlink xmlns:r="http://schemas.openxmlformats.org/officeDocument/2006/relationships" ref="A37" r:id="Rddbdca80bdbe4a94"/>
    <x:hyperlink xmlns:r="http://schemas.openxmlformats.org/officeDocument/2006/relationships" ref="A38" r:id="R05326c7c1c014cc0"/>
    <x:hyperlink xmlns:r="http://schemas.openxmlformats.org/officeDocument/2006/relationships" ref="A39" r:id="R8997bbbd5392471c"/>
    <x:hyperlink xmlns:r="http://schemas.openxmlformats.org/officeDocument/2006/relationships" ref="A40" r:id="Rf40701719c4d4a7e"/>
    <x:hyperlink xmlns:r="http://schemas.openxmlformats.org/officeDocument/2006/relationships" ref="A41" r:id="R9e3741c79218437e"/>
    <x:hyperlink xmlns:r="http://schemas.openxmlformats.org/officeDocument/2006/relationships" ref="A42" r:id="Ra9d8d47a95e146c7"/>
    <x:hyperlink xmlns:r="http://schemas.openxmlformats.org/officeDocument/2006/relationships" ref="A43" r:id="Ra30e195c1f874eca"/>
    <x:hyperlink xmlns:r="http://schemas.openxmlformats.org/officeDocument/2006/relationships" ref="A44" r:id="R37edf246e5b74f92"/>
    <x:hyperlink xmlns:r="http://schemas.openxmlformats.org/officeDocument/2006/relationships" ref="A45" r:id="Rff266cd500934857"/>
    <x:hyperlink xmlns:r="http://schemas.openxmlformats.org/officeDocument/2006/relationships" ref="A46" r:id="R5f9347730a834141"/>
    <x:hyperlink xmlns:r="http://schemas.openxmlformats.org/officeDocument/2006/relationships" ref="A47" r:id="R019f7ce70f5d4ce3"/>
    <x:hyperlink xmlns:r="http://schemas.openxmlformats.org/officeDocument/2006/relationships" ref="A48" r:id="R28dc52fd69814522"/>
    <x:hyperlink xmlns:r="http://schemas.openxmlformats.org/officeDocument/2006/relationships" ref="A49" r:id="Rf05d40ffa7854c33"/>
  </x:hyperlinks>
  <x:pageMargins left="0.7" right="0.7" top="0.75" bottom="0.75" header="0.3" footer="0.3"/>
</x:worksheet>
</file>

<file path=xl/worksheets/sheet3.xml><?xml version="1.0" encoding="utf-8"?>
<x:worksheet xmlns:x="http://schemas.openxmlformats.org/spreadsheetml/2006/main">
  <x:sheetPr>
    <x:tabColor rgb="FF0000FF"/>
  </x:sheetPr>
  <x:sheetViews>
    <x:sheetView showGridLines="0" workbookViewId="0">
      <x:pane ySplit="4" topLeftCell="A5" activePane="bottomLeft" state="frozen"/>
    </x:sheetView>
  </x:sheetViews>
  <x:sheetFormatPr baseColWidth="8" defaultRowHeight="15"/>
  <x:cols>
    <x:col min="1" max="1" width="46" customWidth="1"/>
    <x:col min="2" max="2" width="14" customWidth="1"/>
    <x:col min="3" max="3" width="13" customWidth="1"/>
    <x:col min="4" max="4" width="11" customWidth="1"/>
    <x:col min="5" max="5" width="44" customWidth="1"/>
    <x:col min="6" max="6" width="70" customWidth="1"/>
  </x:cols>
  <x:sheetData>
    <x:row r="1">
      <x:c r="A1" s="1" t="inlineStr">
        <x:is>
          <x:t xml:space="preserve">Inputs</x:t>
        </x:is>
      </x:c>
    </x:row>
    <x:row r="2">
      <x:c r="A2" s="2" t="inlineStr">
        <x:is>
          <x:t xml:space="preserve">Every hard-coded number lives here. Blue = input, yellow fill = judgement call. Market data as of 2026-10-15.</x:t>
        </x:is>
      </x:c>
    </x:row>
    <x:row r="4">
      <x:c r="A4" s="8" t="inlineStr">
        <x:is>
          <x:t xml:space="preserve">Input</x:t>
        </x:is>
      </x:c>
      <x:c r="B4" s="9" t="inlineStr">
        <x:is>
          <x:t xml:space="preserve">Value</x:t>
        </x:is>
      </x:c>
      <x:c r="C4" s="9" t="inlineStr">
        <x:is>
          <x:t xml:space="preserve">Unit</x:t>
        </x:is>
      </x:c>
      <x:c r="D4" s="9" t="inlineStr">
        <x:is>
          <x:t xml:space="preserve">As of</x:t>
        </x:is>
      </x:c>
      <x:c r="E4" s="9" t="inlineStr">
        <x:is>
          <x:t xml:space="preserve">Source</x:t>
        </x:is>
      </x:c>
      <x:c r="F4" s="9" t="inlineStr">
        <x:is>
          <x:t xml:space="preserve">Note</x:t>
        </x:is>
      </x:c>
    </x:row>
    <x:row r="5">
      <x:c r="A5" s="40" t="inlineStr">
        <x:is>
          <x:t xml:space="preserve">Bitcoin and market data (point-in-time; refresh before use)</x:t>
        </x:is>
      </x:c>
      <x:c r="B5" s="41" t="n"/>
      <x:c r="C5" s="41" t="n"/>
      <x:c r="D5" s="41" t="n"/>
      <x:c r="E5" s="41" t="n"/>
      <x:c r="F5" s="41" t="n"/>
    </x:row>
    <x:row r="6">
      <x:c r="A6" s="42" t="inlineStr">
        <x:is>
          <x:t xml:space="preserve">Bitcoin held</x:t>
        </x:is>
      </x:c>
      <x:c r="B6" s="43" t="n">
        <x:v>848250</x:v>
      </x:c>
      <x:c r="C6" s="2" t="inlineStr">
        <x:is>
          <x:t xml:space="preserve">BTC</x:t>
        </x:is>
      </x:c>
      <x:c r="D6" s="2" t="inlineStr">
        <x:is>
          <x:t xml:space="preserve">2026-10-11</x:t>
        </x:is>
      </x:c>
      <x:c r="E6" s="44" t="inlineStr">
        <x:is>
          <x:t xml:space="preserve">https://www.sec.gov/Archives/edgar/data/1050446/000119312526419726/mstr-ex99_1.htm</x:t>
        </x:is>
      </x:c>
      <x:c r="F6" s="45" t="inlineStr">
        <x:is>
          <x:t xml:space="preserve">Weekly 8-K, Exhibit 99.1</x:t>
        </x:is>
      </x:c>
    </x:row>
    <x:row r="7">
      <x:c r="A7" s="42" t="inlineStr">
        <x:is>
          <x:t xml:space="preserve">Average purchase price</x:t>
        </x:is>
      </x:c>
      <x:c r="B7" s="46" t="n">
        <x:v>75444</x:v>
      </x:c>
      <x:c r="C7" s="2" t="inlineStr">
        <x:is>
          <x:t xml:space="preserve">$/BTC</x:t>
        </x:is>
      </x:c>
      <x:c r="D7" s="2" t="inlineStr">
        <x:is>
          <x:t xml:space="preserve">2026-10-11</x:t>
        </x:is>
      </x:c>
      <x:c r="E7" s="44" t="inlineStr">
        <x:is>
          <x:t xml:space="preserve">https://www.sec.gov/Archives/edgar/data/1050446/000119312526419726/mstr-ex99_1.htm</x:t>
        </x:is>
      </x:c>
      <x:c r="F7" s="45" t="inlineStr">
        <x:is>
          <x:t xml:space="preserve">Context only</x:t>
        </x:is>
      </x:c>
    </x:row>
    <x:row r="8">
      <x:c r="A8" s="42" t="inlineStr">
        <x:is>
          <x:t xml:space="preserve">BTC price (Base)</x:t>
        </x:is>
      </x:c>
      <x:c r="B8" s="47" t="n">
        <x:v>82131</x:v>
      </x:c>
      <x:c r="C8" s="2" t="inlineStr">
        <x:is>
          <x:t xml:space="preserve">$/BTC</x:t>
        </x:is>
      </x:c>
      <x:c r="D8" s="2" t="inlineStr">
        <x:is>
          <x:t xml:space="preserve">2026-10-15</x:t>
        </x:is>
      </x:c>
      <x:c r="E8" s="44" t="inlineStr">
        <x:is>
          <x:t xml:space="preserve">https://api.exchange.coinbase.com/products/BTC-USD/candles</x:t>
        </x:is>
      </x:c>
      <x:c r="F8" s="45" t="inlineStr">
        <x:is>
          <x:t xml:space="preserve">Coinbase BTC-USD daily close, Oct 15 2026 (UTC). Secondary market data</x:t>
        </x:is>
      </x:c>
    </x:row>
    <x:row r="9">
      <x:c r="A9" s="42" t="inlineStr">
        <x:is>
          <x:t xml:space="preserve">EUR/USD (Base)</x:t>
        </x:is>
      </x:c>
      <x:c r="B9" s="48" t="n">
        <x:v>1.1253</x:v>
      </x:c>
      <x:c r="C9" s="2" t="inlineStr">
        <x:is>
          <x:t xml:space="preserve">USD per EUR</x:t>
        </x:is>
      </x:c>
      <x:c r="D9" s="2" t="inlineStr">
        <x:is>
          <x:t xml:space="preserve">2026-10-16</x:t>
        </x:is>
      </x:c>
      <x:c r="E9" s="44" t="inlineStr">
        <x:is>
          <x:t xml:space="preserve">https://www.ecb.europa.eu/stats/policy_and_exchange_rates/euro_reference_exchange_rates/html/eurofxref-graph-usd.en.html</x:t>
        </x:is>
      </x:c>
      <x:c r="F9" s="45" t="inlineStr">
        <x:is>
          <x:t xml:space="preserve">ECB euro reference rate</x:t>
        </x:is>
      </x:c>
    </x:row>
    <x:row r="10" ht="24" customHeight="1">
      <x:c r="A10" s="42" t="inlineStr">
        <x:is>
          <x:t xml:space="preserve">MSTR shares outstanding, Class A + B</x:t>
        </x:is>
      </x:c>
      <x:c r="B10" s="49" t="n">
        <x:v>421.761</x:v>
      </x:c>
      <x:c r="C10" s="2" t="inlineStr">
        <x:is>
          <x:t xml:space="preserve">m shares</x:t>
        </x:is>
      </x:c>
      <x:c r="D10" s="2" t="inlineStr">
        <x:is>
          <x:t xml:space="preserve">2026-10-11</x:t>
        </x:is>
      </x:c>
      <x:c r="E10" s="44" t="inlineStr">
        <x:is>
          <x:t xml:space="preserve">https://www.sec.gov/Archives/edgar/data/0001050446/000105044626000044/mstr-20260630.htm</x:t>
        </x:is>
      </x:c>
      <x:c r="F10" s="45" t="inlineStr">
        <x:is>
          <x:t xml:space="preserve">Estimate: 364.586m Class A (10-Q cover, Jul 24) + 37.536m sold via ATM Jul 27-Oct 11 (weekly 8-Ks) + 19.640m Class B. May understate by up to 5.4m (Jul 20-26 week straddles the cover date)</x:t>
        </x:is>
      </x:c>
    </x:row>
    <x:row r="11">
      <x:c r="A11" s="42" t="inlineStr">
        <x:is>
          <x:t xml:space="preserve">MSTR share price (Base)</x:t>
        </x:is>
      </x:c>
      <x:c r="B11" s="50" t="n">
        <x:v>151.29</x:v>
      </x:c>
      <x:c r="C11" s="2" t="inlineStr">
        <x:is>
          <x:t xml:space="preserve">$/sh</x:t>
        </x:is>
      </x:c>
      <x:c r="D11" s="2" t="inlineStr">
        <x:is>
          <x:t xml:space="preserve">2026-10-15</x:t>
        </x:is>
      </x:c>
      <x:c r="E11" s="44" t="inlineStr">
        <x:is>
          <x:t xml:space="preserve">https://finance.yahoo.com/quote/MSTR/history</x:t>
        </x:is>
      </x:c>
      <x:c r="F11" s="45" t="inlineStr">
        <x:is>
          <x:t xml:space="preserve">Close, Oct 15 2026. Secondary market data</x:t>
        </x:is>
      </x:c>
    </x:row>
    <x:row r="12">
      <x:c r="A12" s="42" t="inlineStr">
        <x:is>
          <x:t xml:space="preserve">MSTR average daily volume</x:t>
        </x:is>
      </x:c>
      <x:c r="B12" s="51" t="n">
        <x:v>22</x:v>
      </x:c>
      <x:c r="C12" s="2" t="inlineStr">
        <x:is>
          <x:t xml:space="preserve">m shares/day</x:t>
        </x:is>
      </x:c>
      <x:c r="D12" s="2" t="inlineStr">
        <x:is>
          <x:t xml:space="preserve">2026-10-15</x:t>
        </x:is>
      </x:c>
      <x:c r="E12" s="44" t="inlineStr">
        <x:is>
          <x:t xml:space="preserve">https://finance.yahoo.com/quote/MSTR/history</x:t>
        </x:is>
      </x:c>
      <x:c r="F12" s="45" t="inlineStr">
        <x:is>
          <x:t xml:space="preserve">20-day average, Sep 18-Oct 15 2026, computed from Yahoo Finance history</x:t>
        </x:is>
      </x:c>
    </x:row>
    <x:row r="13">
      <x:c r="A13" s="40" t="inlineStr">
        <x:is>
          <x:t xml:space="preserve">Company liquidity</x:t>
        </x:is>
      </x:c>
      <x:c r="B13" s="41" t="n"/>
      <x:c r="C13" s="41" t="n"/>
      <x:c r="D13" s="41" t="n"/>
      <x:c r="E13" s="41" t="n"/>
      <x:c r="F13" s="41" t="n"/>
    </x:row>
    <x:row r="14">
      <x:c r="A14" s="42" t="inlineStr">
        <x:is>
          <x:t xml:space="preserve">USD Reserve (dividends + interest)</x:t>
        </x:is>
      </x:c>
      <x:c r="B14" s="52" t="n">
        <x:v>4880</x:v>
      </x:c>
      <x:c r="C14" s="2" t="inlineStr">
        <x:is>
          <x:t xml:space="preserve">$m</x:t>
        </x:is>
      </x:c>
      <x:c r="D14" s="2" t="inlineStr">
        <x:is>
          <x:t xml:space="preserve">2026-10-11</x:t>
        </x:is>
      </x:c>
      <x:c r="E14" s="44" t="inlineStr">
        <x:is>
          <x:t xml:space="preserve">https://www.sec.gov/Archives/edgar/data/1050446/000119312526419726/mstr-ex99_1.htm</x:t>
        </x:is>
      </x:c>
      <x:c r="F14" s="45" t="inlineStr">
        <x:is>
          <x:t xml:space="preserve">Ring-fenced for preferred dividends and debt interest (Jun 29 policy)</x:t>
        </x:is>
      </x:c>
    </x:row>
    <x:row r="15" ht="24" customHeight="1">
      <x:c r="A15" s="42" t="inlineStr">
        <x:is>
          <x:t xml:space="preserve">Reserve policy minimum</x:t>
        </x:is>
      </x:c>
      <x:c r="B15" s="53" t="n">
        <x:v>12</x:v>
      </x:c>
      <x:c r="C15" s="2" t="inlineStr">
        <x:is>
          <x:t xml:space="preserve">months</x:t>
        </x:is>
      </x:c>
      <x:c r="D15" s="2" t="inlineStr">
        <x:is>
          <x:t xml:space="preserve">2026-06-29</x:t>
        </x:is>
      </x:c>
      <x:c r="E15" s="44" t="inlineStr">
        <x:is>
          <x:t xml:space="preserve">https://www.sec.gov/Archives/edgar/data/1050446/000119312526286871/mstr-20260629.htm</x:t>
        </x:is>
      </x:c>
      <x:c r="F15" s="45" t="inlineStr">
        <x:is>
          <x:t xml:space="preserve">Management must hold at least 12 months of expected dividends + interest; going lower needs board approval</x:t>
        </x:is>
      </x:c>
    </x:row>
    <x:row r="16" ht="24" customHeight="1">
      <x:c r="A16" s="42" t="inlineStr">
        <x:is>
          <x:t xml:space="preserve">USD Cash (general treasury)</x:t>
        </x:is>
      </x:c>
      <x:c r="B16" s="52" t="n">
        <x:v>640.5</x:v>
      </x:c>
      <x:c r="C16" s="2" t="inlineStr">
        <x:is>
          <x:t xml:space="preserve">$m</x:t>
        </x:is>
      </x:c>
      <x:c r="D16" s="2" t="inlineStr">
        <x:is>
          <x:t xml:space="preserve">2026-10-11</x:t>
        </x:is>
      </x:c>
      <x:c r="E16" s="44" t="inlineStr">
        <x:is>
          <x:t xml:space="preserve">https://www.sec.gov/Archives/edgar/data/1050446/000119312526419726/mstr-ex99_1.htm</x:t>
        </x:is>
      </x:c>
      <x:c r="F16" s="45" t="inlineStr">
        <x:is>
          <x:t xml:space="preserve">Flexible pool created Aug 24 2026 (https://www.sec.gov/Archives/edgar/data/1050446/000119312526361845/mstr-20260824.htm). Not ring-fenced</x:t>
        </x:is>
      </x:c>
    </x:row>
    <x:row r="17">
      <x:c r="A17" s="42" t="inlineStr">
        <x:is>
          <x:t xml:space="preserve">BTC that may be sold into the Reserve</x:t>
        </x:is>
      </x:c>
      <x:c r="B17" s="52" t="n">
        <x:v>1250</x:v>
      </x:c>
      <x:c r="C17" s="2" t="inlineStr">
        <x:is>
          <x:t xml:space="preserve">$m</x:t>
        </x:is>
      </x:c>
      <x:c r="D17" s="2" t="inlineStr">
        <x:is>
          <x:t xml:space="preserve">2026-06-29</x:t>
        </x:is>
      </x:c>
      <x:c r="E17" s="44" t="inlineStr">
        <x:is>
          <x:t xml:space="preserve">https://www.sec.gov/Archives/edgar/data/1050446/000119312526286871/mstr-20260629.htm</x:t>
        </x:is>
      </x:c>
      <x:c r="F17" s="45" t="inlineStr">
        <x:is>
          <x:t xml:space="preserve">BTC Monetization Program: up to $1.25B of BTC sales may top up the Reserve</x:t>
        </x:is>
      </x:c>
    </x:row>
    <x:row r="18">
      <x:c r="A18" s="42" t="inlineStr">
        <x:is>
          <x:t xml:space="preserve">MSTR ATM capacity remaining</x:t>
        </x:is>
      </x:c>
      <x:c r="B18" s="52" t="n">
        <x:v>18807.6</x:v>
      </x:c>
      <x:c r="C18" s="2" t="inlineStr">
        <x:is>
          <x:t xml:space="preserve">$m</x:t>
        </x:is>
      </x:c>
      <x:c r="D18" s="2" t="inlineStr">
        <x:is>
          <x:t xml:space="preserve">2026-10-11</x:t>
        </x:is>
      </x:c>
      <x:c r="E18" s="44" t="inlineStr">
        <x:is>
          <x:t xml:space="preserve">https://www.sec.gov/Archives/edgar/data/1050446/000119312526419726/mstr-ex99_1.htm</x:t>
        </x:is>
      </x:c>
      <x:c r="F18" s="45" t="inlineStr">
        <x:is>
          <x:t xml:space="preserve">Registered capacity, not demand</x:t>
        </x:is>
      </x:c>
    </x:row>
    <x:row r="19">
      <x:c r="A19" s="42" t="inlineStr">
        <x:is>
          <x:t xml:space="preserve">STRF ATM capacity remaining</x:t>
        </x:is>
      </x:c>
      <x:c r="B19" s="52" t="n">
        <x:v>1619.3</x:v>
      </x:c>
      <x:c r="C19" s="2" t="inlineStr">
        <x:is>
          <x:t xml:space="preserve">$m</x:t>
        </x:is>
      </x:c>
      <x:c r="D19" s="2" t="inlineStr">
        <x:is>
          <x:t xml:space="preserve">2026-10-11</x:t>
        </x:is>
      </x:c>
      <x:c r="E19" s="44" t="inlineStr">
        <x:is>
          <x:t xml:space="preserve">https://www.sec.gov/Archives/edgar/data/1050446/000119312526419726/mstr-ex99_1.htm</x:t>
        </x:is>
      </x:c>
      <x:c r="F19" s="45" t="inlineStr">
        <x:is>
          <x:t xml:space="preserve">No preferred ATM sales Jun 22-Oct 11</x:t>
        </x:is>
      </x:c>
    </x:row>
    <x:row r="20">
      <x:c r="A20" s="42" t="inlineStr">
        <x:is>
          <x:t xml:space="preserve">STRC ATM capacity remaining</x:t>
        </x:is>
      </x:c>
      <x:c r="B20" s="52" t="n">
        <x:v>17510.8</x:v>
      </x:c>
      <x:c r="C20" s="2" t="inlineStr">
        <x:is>
          <x:t xml:space="preserve">$m</x:t>
        </x:is>
      </x:c>
      <x:c r="D20" s="2" t="inlineStr">
        <x:is>
          <x:t xml:space="preserve">2026-10-11</x:t>
        </x:is>
      </x:c>
      <x:c r="E20" s="44" t="inlineStr">
        <x:is>
          <x:t xml:space="preserve">https://www.sec.gov/Archives/edgar/data/1050446/000119312526419726/mstr-ex99_1.htm</x:t>
        </x:is>
      </x:c>
      <x:c r="F20" s="45" t="inlineStr">
        <x:is>
          <x:t xml:space="preserve">Policy: no STRC issuance below $100 stated amount (10-Q)</x:t>
        </x:is>
      </x:c>
    </x:row>
    <x:row r="21">
      <x:c r="A21" s="42" t="inlineStr">
        <x:is>
          <x:t xml:space="preserve">STRK ATM capacity remaining</x:t>
        </x:is>
      </x:c>
      <x:c r="B21" s="52" t="n">
        <x:v>2100</x:v>
      </x:c>
      <x:c r="C21" s="2" t="inlineStr">
        <x:is>
          <x:t xml:space="preserve">$m</x:t>
        </x:is>
      </x:c>
      <x:c r="D21" s="2" t="inlineStr">
        <x:is>
          <x:t xml:space="preserve">2026-10-11</x:t>
        </x:is>
      </x:c>
      <x:c r="E21" s="44" t="inlineStr">
        <x:is>
          <x:t xml:space="preserve">https://www.sec.gov/Archives/edgar/data/1050446/000119312526419726/mstr-ex99_1.htm</x:t>
        </x:is>
      </x:c>
      <x:c r="F21" s="45" t="inlineStr">
        <x:is>
          <x:t xml:space="preserve"/>
        </x:is>
      </x:c>
    </x:row>
    <x:row r="22">
      <x:c r="A22" s="42" t="inlineStr">
        <x:is>
          <x:t xml:space="preserve">STRD ATM capacity remaining</x:t>
        </x:is>
      </x:c>
      <x:c r="B22" s="52" t="n">
        <x:v>4014.8</x:v>
      </x:c>
      <x:c r="C22" s="2" t="inlineStr">
        <x:is>
          <x:t xml:space="preserve">$m</x:t>
        </x:is>
      </x:c>
      <x:c r="D22" s="2" t="inlineStr">
        <x:is>
          <x:t xml:space="preserve">2026-10-11</x:t>
        </x:is>
      </x:c>
      <x:c r="E22" s="44" t="inlineStr">
        <x:is>
          <x:t xml:space="preserve">https://www.sec.gov/Archives/edgar/data/1050446/000119312526419726/mstr-ex99_1.htm</x:t>
        </x:is>
      </x:c>
      <x:c r="F22" s="45" t="inlineStr">
        <x:is>
          <x:t xml:space="preserve"/>
        </x:is>
      </x:c>
    </x:row>
    <x:row r="23" ht="24" customHeight="1">
      <x:c r="A23" s="42" t="inlineStr">
        <x:is>
          <x:t xml:space="preserve">Preferred buyback authorization remaining</x:t>
        </x:is>
      </x:c>
      <x:c r="B23" s="52" t="n">
        <x:v>354.8</x:v>
      </x:c>
      <x:c r="C23" s="2" t="inlineStr">
        <x:is>
          <x:t xml:space="preserve">$m</x:t>
        </x:is>
      </x:c>
      <x:c r="D23" s="2" t="inlineStr">
        <x:is>
          <x:t xml:space="preserve">2026-10-11</x:t>
        </x:is>
      </x:c>
      <x:c r="E23" s="44" t="inlineStr">
        <x:is>
          <x:t xml:space="preserve">https://www.sec.gov/Archives/edgar/data/1050446/000119312526419726/mstr-ex99_1.htm</x:t>
        </x:is>
      </x:c>
      <x:c r="F23" s="45" t="inlineStr">
        <x:is>
          <x:t xml:space="preserve">Of $2.0B (raised from $1.0B on Sep 8 2026: https://www.sec.gov/Archives/edgar/data/1050446/000119312526384402/mstr-20260831.htm)</x:t>
        </x:is>
      </x:c>
    </x:row>
    <x:row r="24">
      <x:c r="A24" s="40" t="inlineStr">
        <x:is>
          <x:t xml:space="preserve">Debt</x:t>
        </x:is>
      </x:c>
      <x:c r="B24" s="41" t="n"/>
      <x:c r="C24" s="41" t="n"/>
      <x:c r="D24" s="41" t="n"/>
      <x:c r="E24" s="41" t="n"/>
      <x:c r="F24" s="41" t="n"/>
    </x:row>
    <x:row r="25">
      <x:c r="A25" s="42" t="inlineStr">
        <x:is>
          <x:t xml:space="preserve">Debt principal (convertibles + other secured)</x:t>
        </x:is>
      </x:c>
      <x:c r="B25" s="52" t="n">
        <x:v>6750</x:v>
      </x:c>
      <x:c r="C25" s="2" t="inlineStr">
        <x:is>
          <x:t xml:space="preserve">$m</x:t>
        </x:is>
      </x:c>
      <x:c r="D25" s="2" t="inlineStr">
        <x:is>
          <x:t xml:space="preserve">2026-06-30</x:t>
        </x:is>
      </x:c>
      <x:c r="E25" s="44" t="inlineStr">
        <x:is>
          <x:t xml:space="preserve">https://www.sec.gov/Archives/edgar/data/0001050446/000105044626000044/mstr-20260630.htm</x:t>
        </x:is>
      </x:c>
      <x:c r="F25" s="45" t="inlineStr">
        <x:is>
          <x:t xml:space="preserve">Convertible schedule below sums to $6,713.7m; ~$40m other secured debt</x:t>
        </x:is>
      </x:c>
    </x:row>
    <x:row r="26">
      <x:c r="A26" s="42" t="inlineStr">
        <x:is>
          <x:t xml:space="preserve">Convertible coupon per semi-annual period</x:t>
        </x:is>
      </x:c>
      <x:c r="B26" s="52" t="n">
        <x:v>17.3</x:v>
      </x:c>
      <x:c r="C26" s="2" t="inlineStr">
        <x:is>
          <x:t xml:space="preserve">$m</x:t>
        </x:is>
      </x:c>
      <x:c r="D26" s="2" t="inlineStr">
        <x:is>
          <x:t xml:space="preserve">2026-06-30</x:t>
        </x:is>
      </x:c>
      <x:c r="E26" s="44" t="inlineStr">
        <x:is>
          <x:t xml:space="preserve">https://www.sec.gov/Archives/edgar/data/0001050446/000105044626000044/mstr-20260630.htm</x:t>
        </x:is>
      </x:c>
      <x:c r="F26" s="45" t="inlineStr">
        <x:is>
          <x:t xml:space="preserve">Filed figure; cross-checked against the schedule below</x:t>
        </x:is>
      </x:c>
    </x:row>
    <x:row r="27">
      <x:c r="A27" s="42" t="inlineStr">
        <x:is>
          <x:t xml:space="preserve">Other secured debt interest per year</x:t>
        </x:is>
      </x:c>
      <x:c r="B27" s="54" t="n">
        <x:v>2</x:v>
      </x:c>
      <x:c r="C27" s="2" t="inlineStr">
        <x:is>
          <x:t xml:space="preserve">$m</x:t>
        </x:is>
      </x:c>
      <x:c r="D27" s="2" t="inlineStr">
        <x:is>
          <x:t xml:space="preserve">2026-06-30</x:t>
        </x:is>
      </x:c>
      <x:c r="E27" s="44" t="inlineStr">
        <x:is>
          <x:t xml:space="preserve">https://www.sec.gov/Archives/edgar/data/0001050446/000105044626000044/mstr-20260630.htm</x:t>
        </x:is>
      </x:c>
      <x:c r="F27" s="45" t="inlineStr">
        <x:is>
          <x:t xml:space="preserve">Estimate: ~$40m at 5.2% and SOFR + 4.24%</x:t>
        </x:is>
      </x:c>
    </x:row>
    <x:row r="28">
      <x:c r="A28" s="40" t="inlineStr">
        <x:is>
          <x:t xml:space="preserve">Preferred stock terms</x:t>
        </x:is>
      </x:c>
      <x:c r="B28" s="41" t="n"/>
      <x:c r="C28" s="41" t="n"/>
      <x:c r="D28" s="41" t="n"/>
      <x:c r="E28" s="41" t="n"/>
      <x:c r="F28" s="41" t="n"/>
    </x:row>
    <x:row r="29">
      <x:c r="A29" s="42" t="inlineStr">
        <x:is>
          <x:t xml:space="preserve">STRF notional</x:t>
        </x:is>
      </x:c>
      <x:c r="B29" s="52" t="n">
        <x:v>1283.969</x:v>
      </x:c>
      <x:c r="C29" s="2" t="inlineStr">
        <x:is>
          <x:t xml:space="preserve">$m</x:t>
        </x:is>
      </x:c>
      <x:c r="D29" s="2" t="inlineStr">
        <x:is>
          <x:t xml:space="preserve">2026-06-30</x:t>
        </x:is>
      </x:c>
      <x:c r="E29" s="44" t="inlineStr">
        <x:is>
          <x:t xml:space="preserve">https://www.sec.gov/Archives/edgar/data/0001050446/000105044626000044/mstr-20260630.htm</x:t>
        </x:is>
      </x:c>
      <x:c r="F29" s="45" t="inlineStr">
        <x:is>
          <x:t xml:space="preserve">No STRF buybacks or issuance since</x:t>
        </x:is>
      </x:c>
    </x:row>
    <x:row r="30">
      <x:c r="A30" s="42" t="inlineStr">
        <x:is>
          <x:t xml:space="preserve">STRC notional, Jun 30 2026</x:t>
        </x:is>
      </x:c>
      <x:c r="B30" s="52" t="n">
        <x:v>10489.4705</x:v>
      </x:c>
      <x:c r="C30" s="2" t="inlineStr">
        <x:is>
          <x:t xml:space="preserve">$m</x:t>
        </x:is>
      </x:c>
      <x:c r="D30" s="2" t="inlineStr">
        <x:is>
          <x:t xml:space="preserve">2026-06-30</x:t>
        </x:is>
      </x:c>
      <x:c r="E30" s="44" t="inlineStr">
        <x:is>
          <x:t xml:space="preserve">https://www.sec.gov/Archives/edgar/data/0001050446/000105044626000044/mstr-20260630.htm</x:t>
        </x:is>
      </x:c>
      <x:c r="F30" s="45" t="inlineStr">
        <x:is>
          <x:t xml:space="preserve">104,894,705 shares; rolled forward in the bridge below</x:t>
        </x:is>
      </x:c>
    </x:row>
    <x:row r="31">
      <x:c r="A31" s="42" t="inlineStr">
        <x:is>
          <x:t xml:space="preserve">STRK notional</x:t>
        </x:is>
      </x:c>
      <x:c r="B31" s="52" t="n">
        <x:v>1402.074</x:v>
      </x:c>
      <x:c r="C31" s="2" t="inlineStr">
        <x:is>
          <x:t xml:space="preserve">$m</x:t>
        </x:is>
      </x:c>
      <x:c r="D31" s="2" t="inlineStr">
        <x:is>
          <x:t xml:space="preserve">2026-06-30</x:t>
        </x:is>
      </x:c>
      <x:c r="E31" s="44" t="inlineStr">
        <x:is>
          <x:t xml:space="preserve">https://www.sec.gov/Archives/edgar/data/0001050446/000105044626000044/mstr-20260630.htm</x:t>
        </x:is>
      </x:c>
      <x:c r="F31" s="45" t="inlineStr">
        <x:is>
          <x:t xml:space="preserve"/>
        </x:is>
      </x:c>
    </x:row>
    <x:row r="32">
      <x:c r="A32" s="42" t="inlineStr">
        <x:is>
          <x:t xml:space="preserve">STRD notional</x:t>
        </x:is>
      </x:c>
      <x:c r="B32" s="52" t="n">
        <x:v>1402.422</x:v>
      </x:c>
      <x:c r="C32" s="2" t="inlineStr">
        <x:is>
          <x:t xml:space="preserve">$m</x:t>
        </x:is>
      </x:c>
      <x:c r="D32" s="2" t="inlineStr">
        <x:is>
          <x:t xml:space="preserve">2026-06-30</x:t>
        </x:is>
      </x:c>
      <x:c r="E32" s="44" t="inlineStr">
        <x:is>
          <x:t xml:space="preserve">https://www.sec.gov/Archives/edgar/data/0001050446/000105044626000044/mstr-20260630.htm</x:t>
        </x:is>
      </x:c>
      <x:c r="F32" s="45" t="inlineStr">
        <x:is>
          <x:t xml:space="preserve"/>
        </x:is>
      </x:c>
    </x:row>
    <x:row r="33">
      <x:c r="A33" s="42" t="inlineStr">
        <x:is>
          <x:t xml:space="preserve">STRE notional</x:t>
        </x:is>
      </x:c>
      <x:c r="B33" s="52" t="n">
        <x:v>775</x:v>
      </x:c>
      <x:c r="C33" s="2" t="inlineStr">
        <x:is>
          <x:t xml:space="preserve">EUR m</x:t>
        </x:is>
      </x:c>
      <x:c r="D33" s="2" t="inlineStr">
        <x:is>
          <x:t xml:space="preserve">2026-06-30</x:t>
        </x:is>
      </x:c>
      <x:c r="E33" s="44" t="inlineStr">
        <x:is>
          <x:t xml:space="preserve">https://www.sec.gov/Archives/edgar/data/0001050446/000105044626000044/mstr-20260630.htm</x:t>
        </x:is>
      </x:c>
      <x:c r="F33" s="45" t="inlineStr">
        <x:is>
          <x:t xml:space="preserve">7,750,000 shares x EUR 100 stated amount</x:t>
        </x:is>
      </x:c>
    </x:row>
    <x:row r="34">
      <x:c r="A34" s="42" t="inlineStr">
        <x:is>
          <x:t xml:space="preserve">STRC stated amount per share</x:t>
        </x:is>
      </x:c>
      <x:c r="B34" s="46" t="n">
        <x:v>100</x:v>
      </x:c>
      <x:c r="C34" s="2" t="inlineStr">
        <x:is>
          <x:t xml:space="preserve">$/sh</x:t>
        </x:is>
      </x:c>
      <x:c r="D34" s="2" t="inlineStr">
        <x:is>
          <x:t xml:space="preserve">2026-06-30</x:t>
        </x:is>
      </x:c>
      <x:c r="E34" s="44" t="inlineStr">
        <x:is>
          <x:t xml:space="preserve">https://www.sec.gov/Archives/edgar/data/0001050446/000105044626000044/mstr-20260630.htm</x:t>
        </x:is>
      </x:c>
      <x:c r="F34" s="45" t="inlineStr">
        <x:is>
          <x:t xml:space="preserve"/>
        </x:is>
      </x:c>
    </x:row>
    <x:row r="35">
      <x:c r="A35" s="42" t="inlineStr">
        <x:is>
          <x:t xml:space="preserve">STRC shares repurchased Jul 1-Oct 11</x:t>
        </x:is>
      </x:c>
      <x:c r="B35" s="55" t="n">
        <x:v>16.973269</x:v>
      </x:c>
      <x:c r="C35" s="2" t="inlineStr">
        <x:is>
          <x:t xml:space="preserve">m shares</x:t>
        </x:is>
      </x:c>
      <x:c r="D35" s="2" t="inlineStr">
        <x:is>
          <x:t xml:space="preserve">2026-10-11</x:t>
        </x:is>
      </x:c>
      <x:c r="E35" s="44" t="inlineStr">
        <x:is>
          <x:t xml:space="preserve">https://www.sec.gov/Archives/edgar/data/1050446/000119312526419726/mstr-ex99_1.htm</x:t>
        </x:is>
      </x:c>
      <x:c r="F35" s="45" t="inlineStr">
        <x:is>
          <x:t xml:space="preserve">Sum of 13 weekly 8-Ks; $1,645.2m spent = $2.0B authorized - $354.8m remaining</x:t>
        </x:is>
      </x:c>
    </x:row>
    <x:row r="36">
      <x:c r="A36" s="42" t="inlineStr">
        <x:is>
          <x:t xml:space="preserve">...of which after Aug 23</x:t>
        </x:is>
      </x:c>
      <x:c r="B36" s="55" t="n">
        <x:v>11.800244</x:v>
      </x:c>
      <x:c r="C36" s="2" t="inlineStr">
        <x:is>
          <x:t xml:space="preserve">m shares</x:t>
        </x:is>
      </x:c>
      <x:c r="D36" s="2" t="inlineStr">
        <x:is>
          <x:t xml:space="preserve">2026-10-11</x:t>
        </x:is>
      </x:c>
      <x:c r="E36" s="44" t="inlineStr">
        <x:is>
          <x:t xml:space="preserve">https://www.sec.gov/Archives/edgar/data/1050446/000119312526419726/mstr-ex99_1.htm</x:t>
        </x:is>
      </x:c>
      <x:c r="F36" s="45" t="inlineStr">
        <x:is>
          <x:t xml:space="preserve">Used to reconcile to management's Aug 23 figure</x:t>
        </x:is>
      </x:c>
    </x:row>
    <x:row r="37">
      <x:c r="A37" s="42" t="inlineStr">
        <x:is>
          <x:t xml:space="preserve">STRC shares issued via ATM since Jun 30</x:t>
        </x:is>
      </x:c>
      <x:c r="B37" s="55" t="n">
        <x:v>0</x:v>
      </x:c>
      <x:c r="C37" s="2" t="inlineStr">
        <x:is>
          <x:t xml:space="preserve">m shares</x:t>
        </x:is>
      </x:c>
      <x:c r="D37" s="2" t="inlineStr">
        <x:is>
          <x:t xml:space="preserve">2026-10-11</x:t>
        </x:is>
      </x:c>
      <x:c r="E37" s="44" t="inlineStr">
        <x:is>
          <x:t xml:space="preserve">https://www.sec.gov/Archives/edgar/data/1050446/000119312526419726/mstr-ex99_1.htm</x:t>
        </x:is>
      </x:c>
      <x:c r="F37" s="45" t="inlineStr">
        <x:is>
          <x:t xml:space="preserve">ATM capacity unchanged in every weekly 8-K</x:t>
        </x:is>
      </x:c>
    </x:row>
    <x:row r="38">
      <x:c r="A38" s="42" t="inlineStr">
        <x:is>
          <x:t xml:space="preserve">STRF dividend rate</x:t>
        </x:is>
      </x:c>
      <x:c r="B38" s="56" t="n">
        <x:v>0.1</x:v>
      </x:c>
      <x:c r="C38" s="2" t="inlineStr">
        <x:is>
          <x:t xml:space="preserve">% p.a.</x:t>
        </x:is>
      </x:c>
      <x:c r="D38" s="2" t="inlineStr">
        <x:is>
          <x:t xml:space="preserve">2026-06-30</x:t>
        </x:is>
      </x:c>
      <x:c r="E38" s="44" t="inlineStr">
        <x:is>
          <x:t xml:space="preserve">https://www.sec.gov/Archives/edgar/data/0001050446/000105044626000044/mstr-20260630.htm</x:t>
        </x:is>
      </x:c>
      <x:c r="F38" s="45" t="inlineStr">
        <x:is>
          <x:t xml:space="preserve">Fixed. Unpaid dividends compound at a rate that steps up 1% a period to 18%</x:t>
        </x:is>
      </x:c>
    </x:row>
    <x:row r="39">
      <x:c r="A39" s="42" t="inlineStr">
        <x:is>
          <x:t xml:space="preserve">STRC dividend rate (Base)</x:t>
        </x:is>
      </x:c>
      <x:c r="B39" s="56" t="n">
        <x:v>0.12</x:v>
      </x:c>
      <x:c r="C39" s="2" t="inlineStr">
        <x:is>
          <x:t xml:space="preserve">% p.a.</x:t>
        </x:is>
      </x:c>
      <x:c r="D39" s="2" t="inlineStr">
        <x:is>
          <x:t xml:space="preserve">2026-10-16</x:t>
        </x:is>
      </x:c>
      <x:c r="E39" s="44" t="inlineStr">
        <x:is>
          <x:t xml:space="preserve">https://www.sec.gov/Archives/edgar/data/1050446/000119312526423400/mstr-20261015.htm</x:t>
        </x:is>
      </x:c>
      <x:c r="F39" s="45" t="inlineStr">
        <x:is>
          <x:t xml:space="preserve">Reset monthly; management will recommend 12% until STRC trades near $100</x:t>
        </x:is>
      </x:c>
    </x:row>
    <x:row r="40">
      <x:c r="A40" s="42" t="inlineStr">
        <x:is>
          <x:t xml:space="preserve">STRK dividend rate</x:t>
        </x:is>
      </x:c>
      <x:c r="B40" s="56" t="n">
        <x:v>0.08</x:v>
      </x:c>
      <x:c r="C40" s="2" t="inlineStr">
        <x:is>
          <x:t xml:space="preserve">% p.a.</x:t>
        </x:is>
      </x:c>
      <x:c r="D40" s="2" t="inlineStr">
        <x:is>
          <x:t xml:space="preserve">2026-06-30</x:t>
        </x:is>
      </x:c>
      <x:c r="E40" s="44" t="inlineStr">
        <x:is>
          <x:t xml:space="preserve">https://www.sec.gov/Archives/edgar/data/0001050446/000105044626000044/mstr-20260630.htm</x:t>
        </x:is>
      </x:c>
      <x:c r="F40" s="45" t="inlineStr">
        <x:is>
          <x:t xml:space="preserve">Fixed. Payable in cash, MSTR Class A shares, or both</x:t>
        </x:is>
      </x:c>
    </x:row>
    <x:row r="41">
      <x:c r="A41" s="42" t="inlineStr">
        <x:is>
          <x:t xml:space="preserve">STRD dividend rate</x:t>
        </x:is>
      </x:c>
      <x:c r="B41" s="56" t="n">
        <x:v>0.1</x:v>
      </x:c>
      <x:c r="C41" s="2" t="inlineStr">
        <x:is>
          <x:t xml:space="preserve">% p.a.</x:t>
        </x:is>
      </x:c>
      <x:c r="D41" s="2" t="inlineStr">
        <x:is>
          <x:t xml:space="preserve">2026-06-30</x:t>
        </x:is>
      </x:c>
      <x:c r="E41" s="44" t="inlineStr">
        <x:is>
          <x:t xml:space="preserve">https://www.sec.gov/Archives/edgar/data/0001050446/000105044626000044/mstr-20260630.htm</x:t>
        </x:is>
      </x:c>
      <x:c r="F41" s="45" t="inlineStr">
        <x:is>
          <x:t xml:space="preserve">Fixed. Non-cumulative</x:t>
        </x:is>
      </x:c>
    </x:row>
    <x:row r="42">
      <x:c r="A42" s="42" t="inlineStr">
        <x:is>
          <x:t xml:space="preserve">STRE dividend rate</x:t>
        </x:is>
      </x:c>
      <x:c r="B42" s="56" t="n">
        <x:v>0.1</x:v>
      </x:c>
      <x:c r="C42" s="2" t="inlineStr">
        <x:is>
          <x:t xml:space="preserve">% p.a.</x:t>
        </x:is>
      </x:c>
      <x:c r="D42" s="2" t="inlineStr">
        <x:is>
          <x:t xml:space="preserve">2026-06-30</x:t>
        </x:is>
      </x:c>
      <x:c r="E42" s="44" t="inlineStr">
        <x:is>
          <x:t xml:space="preserve">https://www.sec.gov/Archives/edgar/data/0001050446/000105044626000044/mstr-20260630.htm</x:t>
        </x:is>
      </x:c>
      <x:c r="F42" s="45" t="inlineStr">
        <x:is>
          <x:t xml:space="preserve">Fixed, EUR 2.50/quarter in euros. Same step-up as STRF if unpaid</x:t>
        </x:is>
      </x:c>
    </x:row>
    <x:row r="43">
      <x:c r="A43" s="40" t="inlineStr">
        <x:is>
          <x:t xml:space="preserve">Seniority (1 = most senior). Debt ranks ahead of every preferred</x:t>
        </x:is>
      </x:c>
      <x:c r="B43" s="41" t="n"/>
      <x:c r="C43" s="41" t="n"/>
      <x:c r="D43" s="41" t="n"/>
      <x:c r="E43" s="41" t="n"/>
      <x:c r="F43" s="41" t="n"/>
    </x:row>
    <x:row r="44">
      <x:c r="A44" s="42" t="inlineStr">
        <x:is>
          <x:t xml:space="preserve">STRF rank</x:t>
        </x:is>
      </x:c>
      <x:c r="B44" s="53" t="n">
        <x:v>1</x:v>
      </x:c>
      <x:c r="C44" s="2" t="inlineStr">
        <x:is>
          <x:t xml:space="preserve">rank</x:t>
        </x:is>
      </x:c>
      <x:c r="D44" s="2" t="inlineStr">
        <x:is>
          <x:t xml:space="preserve">2026-06-30</x:t>
        </x:is>
      </x:c>
      <x:c r="E44" s="44" t="inlineStr">
        <x:is>
          <x:t xml:space="preserve">https://www.sec.gov/Archives/edgar/data/0001050446/000105044626000044/mstr-20260630.htm</x:t>
        </x:is>
      </x:c>
      <x:c r="F44" s="45" t="inlineStr">
        <x:is>
          <x:t xml:space="preserve">10-Q risk factor: STRF, STRC, STRE, STRK, STRD from highest to lowest</x:t>
        </x:is>
      </x:c>
    </x:row>
    <x:row r="45">
      <x:c r="A45" s="42" t="inlineStr">
        <x:is>
          <x:t xml:space="preserve">STRC rank</x:t>
        </x:is>
      </x:c>
      <x:c r="B45" s="53" t="n">
        <x:v>2</x:v>
      </x:c>
      <x:c r="C45" s="2" t="inlineStr">
        <x:is>
          <x:t xml:space="preserve">rank</x:t>
        </x:is>
      </x:c>
      <x:c r="D45" s="2" t="inlineStr">
        <x:is>
          <x:t xml:space="preserve">2026-06-15</x:t>
        </x:is>
      </x:c>
      <x:c r="E45" s="44" t="inlineStr">
        <x:is>
          <x:t xml:space="preserve">https://www.sec.gov/Archives/edgar/data/1050446/000119312526270366/d144149dex31.htm</x:t>
        </x:is>
      </x:c>
      <x:c r="F45" s="45" t="inlineStr">
        <x:is>
          <x:t xml:space="preserve">Amended STRC certificate: STRF senior; STRE, STRK, STRD junior</x:t>
        </x:is>
      </x:c>
    </x:row>
    <x:row r="46">
      <x:c r="A46" s="42" t="inlineStr">
        <x:is>
          <x:t xml:space="preserve">STRE rank</x:t>
        </x:is>
      </x:c>
      <x:c r="B46" s="53" t="n">
        <x:v>3</x:v>
      </x:c>
      <x:c r="C46" s="2" t="inlineStr">
        <x:is>
          <x:t xml:space="preserve">rank</x:t>
        </x:is>
      </x:c>
      <x:c r="D46" s="2" t="inlineStr">
        <x:is>
          <x:t xml:space="preserve">2025-11-12</x:t>
        </x:is>
      </x:c>
      <x:c r="E46" s="44" t="inlineStr">
        <x:is>
          <x:t xml:space="preserve">https://www.sec.gov/Archives/edgar/data/1050446/000119312525280178/d205736dex31.htm</x:t>
        </x:is>
      </x:c>
      <x:c r="F46" s="45" t="inlineStr">
        <x:is>
          <x:t xml:space="preserve">STRE certificate: STRF and STRC senior; STRK and STRD junior</x:t>
        </x:is>
      </x:c>
    </x:row>
    <x:row r="47">
      <x:c r="A47" s="42" t="inlineStr">
        <x:is>
          <x:t xml:space="preserve">STRK rank</x:t>
        </x:is>
      </x:c>
      <x:c r="B47" s="53" t="n">
        <x:v>4</x:v>
      </x:c>
      <x:c r="C47" s="2" t="inlineStr">
        <x:is>
          <x:t xml:space="preserve">rank</x:t>
        </x:is>
      </x:c>
      <x:c r="D47" s="2" t="inlineStr">
        <x:is>
          <x:t xml:space="preserve">2026-02-01</x:t>
        </x:is>
      </x:c>
      <x:c r="E47" s="44" t="inlineStr">
        <x:is>
          <x:t xml:space="preserve">https://www.sec.gov/Archives/edgar/data/1050446/000105044626000020/ex42descriptionofregistere.htm</x:t>
        </x:is>
      </x:c>
      <x:c r="F47" s="45" t="inlineStr">
        <x:is>
          <x:t xml:space="preserve">10-K Ex. 4.2: STRF, STRC, STRE senior; STRD junior</x:t>
        </x:is>
      </x:c>
    </x:row>
    <x:row r="48">
      <x:c r="A48" s="42" t="inlineStr">
        <x:is>
          <x:t xml:space="preserve">STRD rank</x:t>
        </x:is>
      </x:c>
      <x:c r="B48" s="53" t="n">
        <x:v>5</x:v>
      </x:c>
      <x:c r="C48" s="2" t="inlineStr">
        <x:is>
          <x:t xml:space="preserve">rank</x:t>
        </x:is>
      </x:c>
      <x:c r="D48" s="2" t="inlineStr">
        <x:is>
          <x:t xml:space="preserve">2026-02-01</x:t>
        </x:is>
      </x:c>
      <x:c r="E48" s="44" t="inlineStr">
        <x:is>
          <x:t xml:space="preserve">https://www.sec.gov/Archives/edgar/data/1050446/000105044626000020/ex42descriptionofregistere.htm</x:t>
        </x:is>
      </x:c>
      <x:c r="F48" s="45" t="inlineStr">
        <x:is>
          <x:t xml:space="preserve">Junior to every other preferred</x:t>
        </x:is>
      </x:c>
    </x:row>
    <x:row r="49">
      <x:c r="A49" s="40" t="inlineStr">
        <x:is>
          <x:t xml:space="preserve">Model assumptions (judgement calls)</x:t>
        </x:is>
      </x:c>
      <x:c r="B49" s="41" t="n"/>
      <x:c r="C49" s="41" t="n"/>
      <x:c r="D49" s="41" t="n"/>
      <x:c r="E49" s="41" t="n"/>
      <x:c r="F49" s="41" t="n"/>
    </x:row>
    <x:row r="50">
      <x:c r="A50" s="42" t="inlineStr">
        <x:is>
          <x:t xml:space="preserve">Share of MSTR daily volume the ATM can take</x:t>
        </x:is>
      </x:c>
      <x:c r="B50" s="57" t="n">
        <x:v>0.02</x:v>
      </x:c>
      <x:c r="C50" s="2" t="inlineStr">
        <x:is>
          <x:t xml:space="preserve">% of ADV</x:t>
        </x:is>
      </x:c>
      <x:c r="D50" s="2" t="inlineStr">
        <x:is>
          <x:t xml:space="preserve">2026-10-16</x:t>
        </x:is>
      </x:c>
      <x:c r="E50" s="2" t="inlineStr">
        <x:is>
          <x:t xml:space="preserve">Model assumption</x:t>
        </x:is>
      </x:c>
      <x:c r="F50" s="45" t="str">
        <x:v>Model assumption, 2% maximum. Path further scales demand by premium and BTC drawdown; no historical calibration claimed.</x:v>
      </x:c>
    </x:row>
    <x:row r="51">
      <x:c r="A51" s="42" t="inlineStr">
        <x:is>
          <x:t xml:space="preserve">Trading days per year</x:t>
        </x:is>
      </x:c>
      <x:c r="B51" s="53" t="n">
        <x:v>252</x:v>
      </x:c>
      <x:c r="C51" s="2" t="inlineStr">
        <x:is>
          <x:t xml:space="preserve">days</x:t>
        </x:is>
      </x:c>
      <x:c r="D51" s="2" t="inlineStr">
        <x:is>
          <x:t xml:space="preserve">2026-10-16</x:t>
        </x:is>
      </x:c>
      <x:c r="E51" s="2" t="inlineStr">
        <x:is>
          <x:t xml:space="preserve">Model assumption</x:t>
        </x:is>
      </x:c>
      <x:c r="F51" s="45" t="inlineStr">
        <x:is>
          <x:t xml:space="preserve"/>
        </x:is>
      </x:c>
    </x:row>
    <x:row r="52" ht="24" customHeight="1">
      <x:c r="A52" s="42" t="inlineStr">
        <x:is>
          <x:t xml:space="preserve">mNAV floor below which no common is sold</x:t>
        </x:is>
      </x:c>
      <x:c r="B52" s="58" t="n">
        <x:v>1</x:v>
      </x:c>
      <x:c r="C52" s="2" t="inlineStr">
        <x:is>
          <x:t xml:space="preserve">x</x:t>
        </x:is>
      </x:c>
      <x:c r="D52" s="2" t="inlineStr">
        <x:is>
          <x:t xml:space="preserve">2026-10-16</x:t>
        </x:is>
      </x:c>
      <x:c r="E52" s="2" t="inlineStr">
        <x:is>
          <x:t xml:space="preserve">Model assumption</x:t>
        </x:is>
      </x:c>
      <x:c r="F52" s="45" t="inlineStr">
        <x:is>
          <x:t xml:space="preserve">No filed 1x policy found. Issuing below 1x cuts BTC per share; CEO statements (secondary) call BTC sales below 1x a last resort. Strategy redefined mNAV on Jul 23 2026</x:t>
        </x:is>
      </x:c>
    </x:row>
    <x:row r="53">
      <x:c r="A53" s="42" t="inlineStr">
        <x:is>
          <x:t xml:space="preserve">Apply the mNAV floor?</x:t>
        </x:is>
      </x:c>
      <x:c r="B53" s="4" t="inlineStr">
        <x:is>
          <x:t xml:space="preserve">Yes</x:t>
        </x:is>
      </x:c>
      <x:c r="C53" s="2" t="inlineStr">
        <x:is>
          <x:t xml:space="preserve">Yes/No</x:t>
        </x:is>
      </x:c>
      <x:c r="D53" s="2" t="inlineStr">
        <x:is>
          <x:t xml:space="preserve">2026-10-16</x:t>
        </x:is>
      </x:c>
      <x:c r="E53" s="2" t="inlineStr">
        <x:is>
          <x:t xml:space="preserve">Model assumption</x:t>
        </x:is>
      </x:c>
      <x:c r="F53" s="45" t="inlineStr">
        <x:is>
          <x:t xml:space="preserve">Yes = no common sales below the floor</x:t>
        </x:is>
      </x:c>
    </x:row>
    <x:row r="54">
      <x:c r="A54" s="42" t="inlineStr">
        <x:is>
          <x:t xml:space="preserve">Cap common sales at the remaining MSTR ATM?</x:t>
        </x:is>
      </x:c>
      <x:c r="B54" s="4" t="inlineStr">
        <x:is>
          <x:t xml:space="preserve">Yes</x:t>
        </x:is>
      </x:c>
      <x:c r="C54" s="2" t="inlineStr">
        <x:is>
          <x:t xml:space="preserve">Yes/No</x:t>
        </x:is>
      </x:c>
      <x:c r="D54" s="2" t="inlineStr">
        <x:is>
          <x:t xml:space="preserve">2026-10-16</x:t>
        </x:is>
      </x:c>
      <x:c r="E54" s="2" t="inlineStr">
        <x:is>
          <x:t xml:space="preserve">Model assumption</x:t>
        </x:is>
      </x:c>
      <x:c r="F54" s="45" t="inlineStr">
        <x:is>
          <x:t xml:space="preserve">No = assume new ATM programs get filed (Strategy added $21.0B on Mar 23 2026)</x:t>
        </x:is>
      </x:c>
    </x:row>
    <x:row r="55">
      <x:c r="A55" s="42" t="inlineStr">
        <x:is>
          <x:t xml:space="preserve">Count USD Cash toward fixed charges?</x:t>
        </x:is>
      </x:c>
      <x:c r="B55" s="4" t="inlineStr">
        <x:is>
          <x:t xml:space="preserve">No</x:t>
        </x:is>
      </x:c>
      <x:c r="C55" s="2" t="inlineStr">
        <x:is>
          <x:t xml:space="preserve">Yes/No</x:t>
        </x:is>
      </x:c>
      <x:c r="D55" s="2" t="inlineStr">
        <x:is>
          <x:t xml:space="preserve">2026-10-16</x:t>
        </x:is>
      </x:c>
      <x:c r="E55" s="2" t="inlineStr">
        <x:is>
          <x:t xml:space="preserve">Model assumption</x:t>
        </x:is>
      </x:c>
      <x:c r="F55" s="45" t="inlineStr">
        <x:is>
          <x:t xml:space="preserve">Default No: only the Reserve is designated for dividends and interest</x:t>
        </x:is>
      </x:c>
    </x:row>
    <x:row r="56">
      <x:c r="A56" s="42" t="inlineStr">
        <x:is>
          <x:t xml:space="preserve">Top up the Reserve with BTC sales (up to the cap)?</x:t>
        </x:is>
      </x:c>
      <x:c r="B56" s="4" t="inlineStr">
        <x:is>
          <x:t xml:space="preserve">No</x:t>
        </x:is>
      </x:c>
      <x:c r="C56" s="2" t="inlineStr">
        <x:is>
          <x:t xml:space="preserve">Yes/No</x:t>
        </x:is>
      </x:c>
      <x:c r="D56" s="2" t="inlineStr">
        <x:is>
          <x:t xml:space="preserve">2026-10-16</x:t>
        </x:is>
      </x:c>
      <x:c r="E56" s="2" t="inlineStr">
        <x:is>
          <x:t xml:space="preserve">Model assumption</x:t>
        </x:is>
      </x:c>
      <x:c r="F56" s="45" t="inlineStr">
        <x:is>
          <x:t xml:space="preserve">Yes adds MIN(cap, BTC NAV) to the Reserve</x:t>
        </x:is>
      </x:c>
    </x:row>
    <x:row r="57">
      <x:c r="A57" s="42" t="inlineStr">
        <x:is>
          <x:t xml:space="preserve">Pay STRK dividends in MSTR shares?</x:t>
        </x:is>
      </x:c>
      <x:c r="B57" s="4" t="inlineStr">
        <x:is>
          <x:t xml:space="preserve">No</x:t>
        </x:is>
      </x:c>
      <x:c r="C57" s="2" t="inlineStr">
        <x:is>
          <x:t xml:space="preserve">Yes/No</x:t>
        </x:is>
      </x:c>
      <x:c r="D57" s="2" t="inlineStr">
        <x:is>
          <x:t xml:space="preserve">2026-10-16</x:t>
        </x:is>
      </x:c>
      <x:c r="E57" s="2" t="inlineStr">
        <x:is>
          <x:t xml:space="preserve">Model assumption</x:t>
        </x:is>
      </x:c>
      <x:c r="F57" s="45" t="inlineStr">
        <x:is>
          <x:t xml:space="preserve">Yes removes STRK from cash charges (the certificate allows it)</x:t>
        </x:is>
      </x:c>
    </x:row>
    <x:row r="58">
      <x:c r="A58" s="42" t="inlineStr">
        <x:is>
          <x:t xml:space="preserve">Target coverage horizon</x:t>
        </x:is>
      </x:c>
      <x:c r="B58" s="59" t="n">
        <x:v>5</x:v>
      </x:c>
      <x:c r="C58" s="2" t="inlineStr">
        <x:is>
          <x:t xml:space="preserve">years</x:t>
        </x:is>
      </x:c>
      <x:c r="D58" s="2" t="inlineStr">
        <x:is>
          <x:t xml:space="preserve">2026-10-16</x:t>
        </x:is>
      </x:c>
      <x:c r="E58" s="2" t="inlineStr">
        <x:is>
          <x:t xml:space="preserve">Model assumption</x:t>
        </x:is>
      </x:c>
      <x:c r="F58" s="45" t="inlineStr">
        <x:is>
          <x:t xml:space="preserve">Used for the breakeven BTC price and grid shading</x:t>
        </x:is>
      </x:c>
    </x:row>
    <x:row r="59">
      <x:c r="A59" s="42" t="inlineStr">
        <x:is>
          <x:t xml:space="preserve">Display cap for coverage</x:t>
        </x:is>
      </x:c>
      <x:c r="B59" s="53" t="n">
        <x:v>50</x:v>
      </x:c>
      <x:c r="C59" s="2" t="inlineStr">
        <x:is>
          <x:t xml:space="preserve">years</x:t>
        </x:is>
      </x:c>
      <x:c r="D59" s="2" t="inlineStr">
        <x:is>
          <x:t xml:space="preserve">2026-10-16</x:t>
        </x:is>
      </x:c>
      <x:c r="E59" s="2" t="inlineStr">
        <x:is>
          <x:t xml:space="preserve">Model assumption</x:t>
        </x:is>
      </x:c>
      <x:c r="F59" s="45" t="inlineStr">
        <x:is>
          <x:t xml:space="preserve">Coverage at or above this shows as '&gt;=50 yrs' (self-funding)</x:t>
        </x:is>
      </x:c>
    </x:row>
    <x:row r="60">
      <x:c r="A60" s="42" t="inlineStr">
        <x:is>
          <x:t xml:space="preserve">Management estimate: annual dividends + interest</x:t>
        </x:is>
      </x:c>
      <x:c r="B60" s="52" t="n">
        <x:v>1703</x:v>
      </x:c>
      <x:c r="C60" s="2" t="inlineStr">
        <x:is>
          <x:t xml:space="preserve">$m</x:t>
        </x:is>
      </x:c>
      <x:c r="D60" s="2" t="inlineStr">
        <x:is>
          <x:t xml:space="preserve">2026-08-23</x:t>
        </x:is>
      </x:c>
      <x:c r="E60" s="44" t="inlineStr">
        <x:is>
          <x:t xml:space="preserve">https://www.sec.gov/Archives/edgar/data/1050446/000119312526363557/d431748dfwp.htm</x:t>
        </x:is>
      </x:c>
      <x:c r="F60" s="45" t="inlineStr">
        <x:is>
          <x:t xml:space="preserve">FWP filed Aug 24 2026. Earlier: $1.76B (Jun 30), $1.736B (Aug 9)</x:t>
        </x:is>
      </x:c>
    </x:row>
    <x:row r="61">
      <x:c r="A61" s="42" t="inlineStr">
        <x:is>
          <x:t xml:space="preserve">Reconciliation tolerance vs management estimate</x:t>
        </x:is>
      </x:c>
      <x:c r="B61" s="60" t="n">
        <x:v>0.02</x:v>
      </x:c>
      <x:c r="C61" s="2" t="inlineStr">
        <x:is>
          <x:t xml:space="preserve">%</x:t>
        </x:is>
      </x:c>
      <x:c r="D61" s="2" t="inlineStr">
        <x:is>
          <x:t xml:space="preserve">2026-10-16</x:t>
        </x:is>
      </x:c>
      <x:c r="E61" s="2" t="inlineStr">
        <x:is>
          <x:t xml:space="preserve">Model assumption</x:t>
        </x:is>
      </x:c>
      <x:c r="F61" s="45" t="inlineStr">
        <x:is>
          <x:t xml:space="preserve">After adjusting for STRC buybacks since Aug 23</x:t>
        </x:is>
      </x:c>
    </x:row>
    <x:row r="63">
      <x:c r="A63" s="40" t="inlineStr">
        <x:is>
          <x:t xml:space="preserve">STRC notional bridge: Jun 30 10-Q to the latest weekly 8-K</x:t>
        </x:is>
      </x:c>
      <x:c r="B63" s="41" t="n"/>
      <x:c r="C63" s="41" t="n"/>
      <x:c r="D63" s="41" t="n"/>
      <x:c r="E63" s="41" t="n"/>
      <x:c r="F63" s="41" t="n"/>
    </x:row>
    <x:row r="64">
      <x:c r="A64" s="42" t="inlineStr">
        <x:is>
          <x:t xml:space="preserve">STRC shares, Jun 30 2026</x:t>
        </x:is>
      </x:c>
      <x:c r="B64" s="61" t="n">
        <x:f>STRC_Notional_0630/STRC_LiqPref</x:f>
        <x:v>104.89470499999999</x:v>
      </x:c>
      <x:c r="C64" s="2" t="inlineStr">
        <x:is>
          <x:t xml:space="preserve">m shares</x:t>
        </x:is>
      </x:c>
    </x:row>
    <x:row r="65">
      <x:c r="A65" s="42" t="inlineStr">
        <x:is>
          <x:t xml:space="preserve">less: repurchased Jul 1-Oct 11</x:t>
        </x:is>
      </x:c>
      <x:c r="B65" s="61" t="n">
        <x:f>-STRC_Repurchased_Shares</x:f>
        <x:v>-16.973269</x:v>
      </x:c>
      <x:c r="C65" s="2" t="inlineStr">
        <x:is>
          <x:t xml:space="preserve">m shares</x:t>
        </x:is>
      </x:c>
    </x:row>
    <x:row r="66">
      <x:c r="A66" s="42" t="inlineStr">
        <x:is>
          <x:t xml:space="preserve">plus: issued via ATM</x:t>
        </x:is>
      </x:c>
      <x:c r="B66" s="61" t="n">
        <x:f>STRC_Issued_Shares</x:f>
        <x:v>0</x:v>
      </x:c>
      <x:c r="C66" s="2" t="inlineStr">
        <x:is>
          <x:t xml:space="preserve">m shares</x:t>
        </x:is>
      </x:c>
    </x:row>
    <x:row r="67">
      <x:c r="A67" s="3" t="inlineStr">
        <x:is>
          <x:t xml:space="preserve">STRC shares, latest</x:t>
        </x:is>
      </x:c>
      <x:c r="B67" s="62" t="n">
        <x:f>SUM(B64:B66)</x:f>
        <x:v>87.92143599999999</x:v>
      </x:c>
      <x:c r="C67" s="2" t="inlineStr">
        <x:is>
          <x:t xml:space="preserve">m shares</x:t>
        </x:is>
      </x:c>
    </x:row>
    <x:row r="68">
      <x:c r="A68" s="3" t="inlineStr">
        <x:is>
          <x:t xml:space="preserve">STRC notional, latest</x:t>
        </x:is>
      </x:c>
      <x:c r="B68" s="63" t="n">
        <x:f>STRC_Shares_Now*STRC_LiqPref</x:f>
        <x:v>8792.1436</x:v>
      </x:c>
      <x:c r="C68" s="2" t="inlineStr">
        <x:is>
          <x:t xml:space="preserve">$m</x:t>
        </x:is>
      </x:c>
      <x:c r="F68" s="45" t="inlineStr">
        <x:is>
          <x:t xml:space="preserve">Rebuilt from filings (assumes repurchased shares are retired). Replace with the Q3 10-Q figure when published.</x:t>
        </x:is>
      </x:c>
    </x:row>
    <x:row r="70">
      <x:c r="A70" s="40" t="inlineStr">
        <x:is>
          <x:t xml:space="preserve">Convertible notes (Q2 2026 10-Q, Note 6). Holder put dates fall inside the 8-quarter runway</x:t>
        </x:is>
      </x:c>
      <x:c r="B70" s="41" t="n"/>
      <x:c r="C70" s="41" t="n"/>
      <x:c r="D70" s="41" t="n"/>
      <x:c r="E70" s="41" t="n"/>
      <x:c r="F70" s="41" t="n"/>
    </x:row>
    <x:row r="71">
      <x:c r="A71" s="8" t="inlineStr">
        <x:is>
          <x:t xml:space="preserve">Note</x:t>
        </x:is>
      </x:c>
      <x:c r="B71" s="9" t="inlineStr">
        <x:is>
          <x:t xml:space="preserve">Principal ($m)</x:t>
        </x:is>
      </x:c>
      <x:c r="C71" s="9" t="inlineStr">
        <x:is>
          <x:t xml:space="preserve">Coupon</x:t>
        </x:is>
      </x:c>
      <x:c r="D71" s="9" t="inlineStr">
        <x:is>
          <x:t xml:space="preserve">Maturity</x:t>
        </x:is>
      </x:c>
      <x:c r="E71" s="9" t="inlineStr">
        <x:is>
          <x:t xml:space="preserve">Holder put</x:t>
        </x:is>
      </x:c>
      <x:c r="F71" s="9" t="inlineStr">
        <x:is>
          <x:t xml:space="preserve">Annual coupon ($m)</x:t>
        </x:is>
      </x:c>
    </x:row>
    <x:row r="72">
      <x:c r="A72" s="42" t="inlineStr">
        <x:is>
          <x:t xml:space="preserve">2028 notes</x:t>
        </x:is>
      </x:c>
      <x:c r="B72" s="52" t="n">
        <x:v>1010</x:v>
      </x:c>
      <x:c r="C72" s="64" t="n">
        <x:v>0.00625</x:v>
      </x:c>
      <x:c r="D72" s="65" t="n">
        <x:v>47011</x:v>
      </x:c>
      <x:c r="E72" s="65" t="n">
        <x:v>46645</x:v>
      </x:c>
      <x:c r="F72" s="66" t="n">
        <x:f>B72*C72</x:f>
        <x:v>6.3125</x:v>
      </x:c>
    </x:row>
    <x:row r="73">
      <x:c r="A73" s="42" t="inlineStr">
        <x:is>
          <x:t xml:space="preserve">2029 notes</x:t>
        </x:is>
      </x:c>
      <x:c r="B73" s="52" t="n">
        <x:v>1500</x:v>
      </x:c>
      <x:c r="C73" s="64" t="n">
        <x:v>0</x:v>
      </x:c>
      <x:c r="D73" s="65" t="n">
        <x:v>47453</x:v>
      </x:c>
      <x:c r="E73" s="65" t="n">
        <x:v>46905</x:v>
      </x:c>
      <x:c r="F73" s="66" t="n">
        <x:f>B73*C73</x:f>
        <x:v>0</x:v>
      </x:c>
    </x:row>
    <x:row r="74">
      <x:c r="A74" s="42" t="inlineStr">
        <x:is>
          <x:t xml:space="preserve">2030A notes</x:t>
        </x:is>
      </x:c>
      <x:c r="B74" s="52" t="n">
        <x:v>800</x:v>
      </x:c>
      <x:c r="C74" s="64" t="n">
        <x:v>0.00625</x:v>
      </x:c>
      <x:c r="D74" s="65" t="n">
        <x:v>47557</x:v>
      </x:c>
      <x:c r="E74" s="65" t="n">
        <x:v>47011</x:v>
      </x:c>
      <x:c r="F74" s="66" t="n">
        <x:f>B74*C74</x:f>
        <x:v>5</x:v>
      </x:c>
    </x:row>
    <x:row r="75">
      <x:c r="A75" s="42" t="inlineStr">
        <x:is>
          <x:t xml:space="preserve">2030B notes</x:t>
        </x:is>
      </x:c>
      <x:c r="B75" s="52" t="n">
        <x:v>2000</x:v>
      </x:c>
      <x:c r="C75" s="64" t="n">
        <x:v>0</x:v>
      </x:c>
      <x:c r="D75" s="65" t="n">
        <x:v>47543</x:v>
      </x:c>
      <x:c r="E75" s="65" t="n">
        <x:v>46813</x:v>
      </x:c>
      <x:c r="F75" s="66" t="n">
        <x:f>B75*C75</x:f>
        <x:v>0</x:v>
      </x:c>
    </x:row>
    <x:row r="76">
      <x:c r="A76" s="42" t="inlineStr">
        <x:is>
          <x:t xml:space="preserve">2031 notes</x:t>
        </x:is>
      </x:c>
      <x:c r="B76" s="52" t="n">
        <x:v>603.7</x:v>
      </x:c>
      <x:c r="C76" s="64" t="n">
        <x:v>0.008750000000000001</x:v>
      </x:c>
      <x:c r="D76" s="65" t="n">
        <x:v>47922</x:v>
      </x:c>
      <x:c r="E76" s="65" t="n">
        <x:v>47011</x:v>
      </x:c>
      <x:c r="F76" s="66" t="n">
        <x:f>B76*C76</x:f>
        <x:v>5.282375000000001</x:v>
      </x:c>
    </x:row>
    <x:row r="77">
      <x:c r="A77" s="42" t="inlineStr">
        <x:is>
          <x:t xml:space="preserve">2032 notes</x:t>
        </x:is>
      </x:c>
      <x:c r="B77" s="52" t="n">
        <x:v>800</x:v>
      </x:c>
      <x:c r="C77" s="64" t="n">
        <x:v>0.0225</x:v>
      </x:c>
      <x:c r="D77" s="65" t="n">
        <x:v>48380</x:v>
      </x:c>
      <x:c r="E77" s="65" t="n">
        <x:v>47284</x:v>
      </x:c>
      <x:c r="F77" s="66" t="n">
        <x:f>B77*C77</x:f>
        <x:v>18</x:v>
      </x:c>
    </x:row>
    <x:row r="78">
      <x:c r="A78" s="3" t="inlineStr">
        <x:is>
          <x:t xml:space="preserve">Total convertibles</x:t>
        </x:is>
      </x:c>
      <x:c r="B78" s="67" t="n">
        <x:f>SUM(B72:B77)</x:f>
        <x:v>6713.7</x:v>
      </x:c>
      <x:c r="F78" s="68" t="n">
        <x:f>SUM(F72:F77)</x:f>
        <x:v>34.594875</x:v>
      </x:c>
    </x:row>
    <x:row r="79">
      <x:c r="A79" s="3" t="inlineStr">
        <x:is>
          <x:t xml:space="preserve">Interest on all debt, per year</x:t>
        </x:is>
      </x:c>
      <x:c r="B79" s="63" t="n">
        <x:f>2*Conv_Coupon_Semi+Other_Debt_Interest</x:f>
        <x:v>36.6</x:v>
      </x:c>
      <x:c r="C79" s="2" t="inlineStr">
        <x:is>
          <x:t xml:space="preserve">$m</x:t>
        </x:is>
      </x:c>
      <x:c r="F79" s="26" t="inlineStr">
        <x:is>
          <x:t xml:space="preserve">Filed convertible coupon x 2 + other secured debt. The schedule above is a cross-check (see Checks).</x:t>
        </x:is>
      </x:c>
    </x:row>
    <x:row r="80">
      <x:c r="A80" s="26" t="inlineStr">
        <x:is>
          <x:t xml:space="preserve">Puts are at the holder's option and are usually exercised only when MSTR trades below the conversion price (not modelled).</x:t>
        </x:is>
      </x:c>
    </x:row>
  </x:sheetData>
  <x:dataValidations count="1">
    <x:dataValidation type="list" allowBlank="0" showDropDown="0" showInputMessage="0" showErrorMessage="0" sqref="B53 B54 B55 B56 B57">
      <x:formula1>"Yes,No"</x:formula1>
    </x:dataValidation>
  </x:dataValidations>
  <x:hyperlinks>
    <x:hyperlink xmlns:r="http://schemas.openxmlformats.org/officeDocument/2006/relationships" ref="E6" r:id="R84565be2272c4f09"/>
    <x:hyperlink xmlns:r="http://schemas.openxmlformats.org/officeDocument/2006/relationships" ref="E7" r:id="Re4506dc3f5574362"/>
    <x:hyperlink xmlns:r="http://schemas.openxmlformats.org/officeDocument/2006/relationships" ref="E8" r:id="Rab5aa7067a0c40e6"/>
    <x:hyperlink xmlns:r="http://schemas.openxmlformats.org/officeDocument/2006/relationships" ref="E9" r:id="Rd060d145dbe14ff5"/>
    <x:hyperlink xmlns:r="http://schemas.openxmlformats.org/officeDocument/2006/relationships" ref="E10" r:id="Reb49c518b5534221"/>
    <x:hyperlink xmlns:r="http://schemas.openxmlformats.org/officeDocument/2006/relationships" ref="E11" r:id="R67d506402722470b"/>
    <x:hyperlink xmlns:r="http://schemas.openxmlformats.org/officeDocument/2006/relationships" ref="E12" r:id="R7f8a1b3b878f4862"/>
    <x:hyperlink xmlns:r="http://schemas.openxmlformats.org/officeDocument/2006/relationships" ref="E14" r:id="Rcb982d9024f143d3"/>
    <x:hyperlink xmlns:r="http://schemas.openxmlformats.org/officeDocument/2006/relationships" ref="E15" r:id="Rc2887a4ff9b74c5a"/>
    <x:hyperlink xmlns:r="http://schemas.openxmlformats.org/officeDocument/2006/relationships" ref="E16" r:id="R7d0e1fd5f034494d"/>
    <x:hyperlink xmlns:r="http://schemas.openxmlformats.org/officeDocument/2006/relationships" ref="E17" r:id="Ra8210904b3bb4b0f"/>
    <x:hyperlink xmlns:r="http://schemas.openxmlformats.org/officeDocument/2006/relationships" ref="E18" r:id="R36b6375cf85f472a"/>
    <x:hyperlink xmlns:r="http://schemas.openxmlformats.org/officeDocument/2006/relationships" ref="E19" r:id="R50f428ec525241ba"/>
    <x:hyperlink xmlns:r="http://schemas.openxmlformats.org/officeDocument/2006/relationships" ref="E20" r:id="R5b51a2c9e594427f"/>
    <x:hyperlink xmlns:r="http://schemas.openxmlformats.org/officeDocument/2006/relationships" ref="E21" r:id="R9299c0e56a164854"/>
    <x:hyperlink xmlns:r="http://schemas.openxmlformats.org/officeDocument/2006/relationships" ref="E22" r:id="Rc9126ab2b17c478a"/>
    <x:hyperlink xmlns:r="http://schemas.openxmlformats.org/officeDocument/2006/relationships" ref="E23" r:id="R8894f3e18b514431"/>
    <x:hyperlink xmlns:r="http://schemas.openxmlformats.org/officeDocument/2006/relationships" ref="E25" r:id="R653c3e565ed94dfa"/>
    <x:hyperlink xmlns:r="http://schemas.openxmlformats.org/officeDocument/2006/relationships" ref="E26" r:id="R612d533871b945bc"/>
    <x:hyperlink xmlns:r="http://schemas.openxmlformats.org/officeDocument/2006/relationships" ref="E27" r:id="Rcadc339b278f4161"/>
    <x:hyperlink xmlns:r="http://schemas.openxmlformats.org/officeDocument/2006/relationships" ref="E29" r:id="R2171b7baf3cc407d"/>
    <x:hyperlink xmlns:r="http://schemas.openxmlformats.org/officeDocument/2006/relationships" ref="E30" r:id="R868dcdf9353c4d01"/>
    <x:hyperlink xmlns:r="http://schemas.openxmlformats.org/officeDocument/2006/relationships" ref="E31" r:id="Rd751f23b785e4167"/>
    <x:hyperlink xmlns:r="http://schemas.openxmlformats.org/officeDocument/2006/relationships" ref="E32" r:id="Rb8f23948ec25421b"/>
    <x:hyperlink xmlns:r="http://schemas.openxmlformats.org/officeDocument/2006/relationships" ref="E33" r:id="Rc6f3a90b4d894d42"/>
    <x:hyperlink xmlns:r="http://schemas.openxmlformats.org/officeDocument/2006/relationships" ref="E34" r:id="R43278dca17b943a1"/>
    <x:hyperlink xmlns:r="http://schemas.openxmlformats.org/officeDocument/2006/relationships" ref="E35" r:id="Rb4cbcd73a57f4f08"/>
    <x:hyperlink xmlns:r="http://schemas.openxmlformats.org/officeDocument/2006/relationships" ref="E36" r:id="R01d2e22c23f74440"/>
    <x:hyperlink xmlns:r="http://schemas.openxmlformats.org/officeDocument/2006/relationships" ref="E37" r:id="R9422aff8ce104a53"/>
    <x:hyperlink xmlns:r="http://schemas.openxmlformats.org/officeDocument/2006/relationships" ref="E38" r:id="R0655c5603b6b429d"/>
    <x:hyperlink xmlns:r="http://schemas.openxmlformats.org/officeDocument/2006/relationships" ref="E39" r:id="R5c9bcfc57cee4a98"/>
    <x:hyperlink xmlns:r="http://schemas.openxmlformats.org/officeDocument/2006/relationships" ref="E40" r:id="Rf8955825340643f8"/>
    <x:hyperlink xmlns:r="http://schemas.openxmlformats.org/officeDocument/2006/relationships" ref="E41" r:id="R8d57c9de77a146bf"/>
    <x:hyperlink xmlns:r="http://schemas.openxmlformats.org/officeDocument/2006/relationships" ref="E42" r:id="R9a4c0ace91e149e4"/>
    <x:hyperlink xmlns:r="http://schemas.openxmlformats.org/officeDocument/2006/relationships" ref="E44" r:id="R0e24f767fb064126"/>
    <x:hyperlink xmlns:r="http://schemas.openxmlformats.org/officeDocument/2006/relationships" ref="E45" r:id="Rc743d34a90304769"/>
    <x:hyperlink xmlns:r="http://schemas.openxmlformats.org/officeDocument/2006/relationships" ref="E46" r:id="R6faea9f5843646d8"/>
    <x:hyperlink xmlns:r="http://schemas.openxmlformats.org/officeDocument/2006/relationships" ref="E47" r:id="R87a97d722b274ca5"/>
    <x:hyperlink xmlns:r="http://schemas.openxmlformats.org/officeDocument/2006/relationships" ref="E48" r:id="Red28c0615788441c"/>
    <x:hyperlink xmlns:r="http://schemas.openxmlformats.org/officeDocument/2006/relationships" ref="E60" r:id="R43cfc48e8eb4406f"/>
  </x:hyperlinks>
  <x:pageMargins left="0.7" right="0.7" top="0.75" bottom="0.75" header="0.3" footer="0.3"/>
</x:worksheet>
</file>

<file path=xl/worksheets/sheet4.xml><?xml version="1.0" encoding="utf-8"?>
<x:worksheet xmlns:x="http://schemas.openxmlformats.org/spreadsheetml/2006/main">
  <x:sheetPr>
    <x:tabColor rgb="FF0000FF"/>
  </x:sheetPr>
  <x:sheetViews>
    <x:sheetView showGridLines="0" workbookViewId="0">
      <x:pane xSplit="1" ySplit="4" topLeftCell="B5" activePane="bottomRight" state="frozen"/>
    </x:sheetView>
  </x:sheetViews>
  <x:sheetFormatPr baseColWidth="8" defaultRowHeight="15"/>
  <x:cols>
    <x:col min="1" max="1" width="38" customWidth="1"/>
    <x:col min="2" max="2" width="13" customWidth="1"/>
    <x:col min="3" max="3" width="13" customWidth="1"/>
    <x:col min="4" max="4" width="13" customWidth="1"/>
    <x:col min="5" max="5" width="13" customWidth="1"/>
    <x:col min="6" max="6" width="13" customWidth="1"/>
    <x:col min="7" max="7" width="3" customWidth="1"/>
    <x:col min="8" max="8" width="14" customWidth="1"/>
    <x:col min="9" max="9" width="64" customWidth="1"/>
  </x:cols>
  <x:sheetData>
    <x:row r="1">
      <x:c r="A1" s="1" t="inlineStr">
        <x:is>
          <x:t xml:space="preserve">Scenarios</x:t>
        </x:is>
      </x:c>
    </x:row>
    <x:row r="2">
      <x:c r="A2" s="2" t="inlineStr">
        <x:is>
          <x:t xml:space="preserve">Pick a case on the Dashboard (cell B4). Base links to Inputs; other columns are blue levers. Live feeds every calculation.</x:t>
        </x:is>
      </x:c>
    </x:row>
    <x:row r="4">
      <x:c r="A4" s="8" t="inlineStr">
        <x:is>
          <x:t xml:space="preserve">Lever</x:t>
        </x:is>
      </x:c>
      <x:c r="B4" s="9" t="inlineStr">
        <x:is>
          <x:t xml:space="preserve">Base</x:t>
        </x:is>
      </x:c>
      <x:c r="C4" s="9" t="inlineStr">
        <x:is>
          <x:t xml:space="preserve">Bear</x:t>
        </x:is>
      </x:c>
      <x:c r="D4" s="9" t="inlineStr">
        <x:is>
          <x:t xml:space="preserve">Severe</x:t>
        </x:is>
      </x:c>
      <x:c r="E4" s="9" t="inlineStr">
        <x:is>
          <x:t xml:space="preserve">Bull</x:t>
        </x:is>
      </x:c>
      <x:c r="F4" s="9" t="inlineStr">
        <x:is>
          <x:t xml:space="preserve">Custom</x:t>
        </x:is>
      </x:c>
      <x:c r="G4" s="9" t="inlineStr">
        <x:is>
          <x:t xml:space="preserve"/>
        </x:is>
      </x:c>
      <x:c r="H4" s="9" t="inlineStr">
        <x:is>
          <x:t xml:space="preserve">Live</x:t>
        </x:is>
      </x:c>
      <x:c r="I4" s="9" t="inlineStr">
        <x:is>
          <x:t xml:space="preserve">What it means</x:t>
        </x:is>
      </x:c>
    </x:row>
    <x:row r="5">
      <x:c r="A5" s="42" t="inlineStr">
        <x:is>
          <x:t xml:space="preserve">BTC change vs Base price</x:t>
        </x:is>
      </x:c>
      <x:c r="B5" s="60" t="n">
        <x:v>0</x:v>
      </x:c>
      <x:c r="C5" s="60" t="n">
        <x:v>-0.5</x:v>
      </x:c>
      <x:c r="D5" s="60" t="n">
        <x:v>-0.7</x:v>
      </x:c>
      <x:c r="E5" s="60" t="n">
        <x:v>0.5</x:v>
      </x:c>
      <x:c r="F5" s="60" t="n">
        <x:v>0</x:v>
      </x:c>
      <x:c r="H5" s="69" t="n">
        <x:f>INDEX(B5:F5,MATCH(Scenario_Select,$B$4:$F$4,0))</x:f>
        <x:v>0</x:v>
      </x:c>
      <x:c r="I5" s="45" t="inlineStr">
        <x:is>
          <x:t xml:space="preserve">Bear and Severe test large drawdowns</x:t>
        </x:is>
      </x:c>
    </x:row>
    <x:row r="6">
      <x:c r="A6" s="42" t="inlineStr">
        <x:is>
          <x:t xml:space="preserve">BTC price</x:t>
        </x:is>
      </x:c>
      <x:c r="B6" s="70" t="n">
        <x:f>BTC_Spot*(1+B5)</x:f>
        <x:v>82131</x:v>
      </x:c>
      <x:c r="C6" s="70" t="n">
        <x:f>BTC_Spot*(1+C5)</x:f>
        <x:v>41065.5</x:v>
      </x:c>
      <x:c r="D6" s="70" t="n">
        <x:f>BTC_Spot*(1+D5)</x:f>
        <x:v>24639.300000000003</x:v>
      </x:c>
      <x:c r="E6" s="70" t="n">
        <x:f>BTC_Spot*(1+E5)</x:f>
        <x:v>123196.5</x:v>
      </x:c>
      <x:c r="F6" s="70" t="n">
        <x:f>BTC_Spot*(1+F5)</x:f>
        <x:v>82131</x:v>
      </x:c>
      <x:c r="H6" s="71" t="n">
        <x:f>'Native sensitivity'!B5</x:f>
        <x:v>82131</x:v>
      </x:c>
      <x:c r="I6" s="45" t="inlineStr">
        <x:is>
          <x:t xml:space="preserve">Base price x (1 + change)</x:t>
        </x:is>
      </x:c>
    </x:row>
    <x:row r="7">
      <x:c r="A7" s="42" t="inlineStr">
        <x:is>
          <x:t xml:space="preserve">mNAV</x:t>
        </x:is>
      </x:c>
      <x:c r="B7" s="72" t="n">
        <x:f>mNAV_Now</x:f>
        <x:v>1.1745671782680673</x:v>
      </x:c>
      <x:c r="C7" s="73" t="n">
        <x:v>1</x:v>
      </x:c>
      <x:c r="D7" s="73" t="n">
        <x:v>0.8</x:v>
      </x:c>
      <x:c r="E7" s="73" t="n">
        <x:v>1.5</x:v>
      </x:c>
      <x:c r="F7" s="73" t="n">
        <x:v>1.2</x:v>
      </x:c>
      <x:c r="H7" s="74" t="n">
        <x:f>'Native sensitivity'!B6</x:f>
        <x:v>1.1745671782680673</x:v>
      </x:c>
      <x:c r="I7" s="45" t="inlineStr">
        <x:is>
          <x:t xml:space="preserve">Base uses today's mNAV. Severe sits below the 1.0x floor, so common sales stop</x:t>
        </x:is>
      </x:c>
    </x:row>
    <x:row r="8">
      <x:c r="A8" s="42" t="inlineStr">
        <x:is>
          <x:t xml:space="preserve">STRC dividend rate</x:t>
        </x:is>
      </x:c>
      <x:c r="B8" s="75" t="n">
        <x:f>Rate_STRC_Base</x:f>
        <x:v>0.12</x:v>
      </x:c>
      <x:c r="C8" s="56" t="n">
        <x:v>0.13</x:v>
      </x:c>
      <x:c r="D8" s="56" t="n">
        <x:v>0.15</x:v>
      </x:c>
      <x:c r="E8" s="56" t="n">
        <x:v>0.1</x:v>
      </x:c>
      <x:c r="F8" s="56" t="n">
        <x:v>0.12</x:v>
      </x:c>
      <x:c r="H8" s="76" t="n">
        <x:f>'Native sensitivity'!B7</x:f>
        <x:v>0.12</x:v>
      </x:c>
      <x:c r="I8" s="45" t="inlineStr">
        <x:is>
          <x:t xml:space="preserve">Management resets STRC monthly; stress raises it</x:t>
        </x:is>
      </x:c>
    </x:row>
    <x:row r="9">
      <x:c r="A9" s="42" t="inlineStr">
        <x:is>
          <x:t xml:space="preserve">EUR/USD change vs Base</x:t>
        </x:is>
      </x:c>
      <x:c r="B9" s="60" t="n">
        <x:v>0</x:v>
      </x:c>
      <x:c r="C9" s="60" t="n">
        <x:v>0</x:v>
      </x:c>
      <x:c r="D9" s="60" t="n">
        <x:v>0.1</x:v>
      </x:c>
      <x:c r="E9" s="60" t="n">
        <x:v>-0.05</x:v>
      </x:c>
      <x:c r="F9" s="60" t="n">
        <x:v>0</x:v>
      </x:c>
      <x:c r="H9" s="69" t="n">
        <x:f>INDEX(B9:F9,MATCH(Scenario_Select,$B$4:$F$4,0))</x:f>
        <x:v>0</x:v>
      </x:c>
      <x:c r="I9" s="45" t="inlineStr">
        <x:is>
          <x:t xml:space="preserve">A stronger euro raises STRE's dollar cost</x:t>
        </x:is>
      </x:c>
    </x:row>
    <x:row r="10">
      <x:c r="A10" s="42" t="inlineStr">
        <x:is>
          <x:t xml:space="preserve">EUR/USD</x:t>
        </x:is>
      </x:c>
      <x:c r="B10" s="77" t="n">
        <x:f>EURUSD_Spot*(1+B9)</x:f>
        <x:v>1.1253</x:v>
      </x:c>
      <x:c r="C10" s="77" t="n">
        <x:f>EURUSD_Spot*(1+C9)</x:f>
        <x:v>1.1253</x:v>
      </x:c>
      <x:c r="D10" s="77" t="n">
        <x:f>EURUSD_Spot*(1+D9)</x:f>
        <x:v>1.23783</x:v>
      </x:c>
      <x:c r="E10" s="77" t="n">
        <x:f>EURUSD_Spot*(1+E9)</x:f>
        <x:v>1.069035</x:v>
      </x:c>
      <x:c r="F10" s="77" t="n">
        <x:f>EURUSD_Spot*(1+F9)</x:f>
        <x:v>1.1253</x:v>
      </x:c>
      <x:c r="H10" s="78" t="n">
        <x:f>'Native sensitivity'!B8</x:f>
        <x:v>1.1253</x:v>
      </x:c>
      <x:c r="I10" s="45" t="inlineStr">
        <x:is>
          <x:t xml:space="preserve"/>
        </x:is>
      </x:c>
    </x:row>
    <x:row r="11">
      <x:c r="A11" s="42" t="inlineStr">
        <x:is>
          <x:t xml:space="preserve">MSTR volume vs Base</x:t>
        </x:is>
      </x:c>
      <x:c r="B11" s="73" t="n">
        <x:v>1</x:v>
      </x:c>
      <x:c r="C11" s="73" t="n">
        <x:v>0.8</x:v>
      </x:c>
      <x:c r="D11" s="73" t="n">
        <x:v>0.6</x:v>
      </x:c>
      <x:c r="E11" s="73" t="n">
        <x:v>1.2</x:v>
      </x:c>
      <x:c r="F11" s="73" t="n">
        <x:v>1</x:v>
      </x:c>
      <x:c r="H11" s="74" t="n">
        <x:f>INDEX(B11:F11,MATCH(Scenario_Select,$B$4:$F$4,0))</x:f>
        <x:v>1</x:v>
      </x:c>
      <x:c r="I11" s="45" t="inlineStr">
        <x:is>
          <x:t xml:space="preserve">Volume usually dries up in drawdowns</x:t>
        </x:is>
      </x:c>
    </x:row>
    <x:row r="12">
      <x:c r="A12" s="42" t="inlineStr">
        <x:is>
          <x:t xml:space="preserve">MSTR average daily volume (m shares)</x:t>
        </x:is>
      </x:c>
      <x:c r="B12" s="79" t="n">
        <x:f>MSTR_ADV*B11</x:f>
        <x:v>22</x:v>
      </x:c>
      <x:c r="C12" s="79" t="n">
        <x:f>MSTR_ADV*C11</x:f>
        <x:v>17.6</x:v>
      </x:c>
      <x:c r="D12" s="79" t="n">
        <x:f>MSTR_ADV*D11</x:f>
        <x:v>13.2</x:v>
      </x:c>
      <x:c r="E12" s="79" t="n">
        <x:f>MSTR_ADV*E11</x:f>
        <x:v>26.4</x:v>
      </x:c>
      <x:c r="F12" s="79" t="n">
        <x:f>MSTR_ADV*F11</x:f>
        <x:v>22</x:v>
      </x:c>
      <x:c r="H12" s="80" t="n">
        <x:f>INDEX(B12:F12,MATCH(Scenario_Select,$B$4:$F$4,0))</x:f>
        <x:v>22</x:v>
      </x:c>
      <x:c r="I12" s="45" t="inlineStr">
        <x:is>
          <x:t xml:space="preserve"/>
        </x:is>
      </x:c>
    </x:row>
    <x:row r="13">
      <x:c r="A13" s="42" t="inlineStr">
        <x:is>
          <x:t xml:space="preserve">ATM participation (% of volume)</x:t>
        </x:is>
      </x:c>
      <x:c r="B13" s="81" t="n">
        <x:f>Participation</x:f>
        <x:v>0.02</x:v>
      </x:c>
      <x:c r="C13" s="60" t="n">
        <x:v>0.1</x:v>
      </x:c>
      <x:c r="D13" s="60" t="n">
        <x:v>0.05</x:v>
      </x:c>
      <x:c r="E13" s="60" t="n">
        <x:v>0.1</x:v>
      </x:c>
      <x:c r="F13" s="60" t="n">
        <x:v>0.1</x:v>
      </x:c>
      <x:c r="H13" s="69" t="n">
        <x:f>INDEX(B13:F13,MATCH(Scenario_Select,$B$4:$F$4,0))</x:f>
        <x:v>0.02</x:v>
      </x:c>
      <x:c r="I13" s="45" t="inlineStr">
        <x:is>
          <x:t xml:space="preserve">Share of daily volume the ATM can sell</x:t>
        </x:is>
      </x:c>
    </x:row>
    <x:row r="15">
      <x:c r="A15" s="26" t="inlineStr">
        <x:is>
          <x:t xml:space="preserve">Levers are judgement calls, not forecasts. Base uses the latest observed values; Custom is yours to edit.</x:t>
        </x:is>
      </x:c>
    </x:row>
    <x:row r="16">
      <x:c r="A16" s="26" t="inlineStr">
        <x:is>
          <x:t xml:space="preserve">To stress one lever alone, set the Dashboard selector to Custom and change only that row.</x:t>
        </x:is>
      </x:c>
    </x:row>
  </x:sheetData>
  <x:pageMargins left="0.7" right="0.7" top="0.75" bottom="0.75" header="0.3" footer="0.3"/>
</x:worksheet>
</file>

<file path=xl/worksheets/sheet5.xml><?xml version="1.0" encoding="utf-8"?>
<x:worksheet xmlns:x="http://schemas.openxmlformats.org/spreadsheetml/2006/main">
  <x:sheetPr>
    <x:tabColor rgb="FF404040"/>
  </x:sheetPr>
  <x:sheetViews>
    <x:sheetView showGridLines="0" workbookViewId="0">
      <x:pane xSplit="1" ySplit="4" topLeftCell="B5" activePane="bottomRight" state="frozen"/>
    </x:sheetView>
  </x:sheetViews>
  <x:sheetFormatPr baseColWidth="8" defaultRowHeight="15"/>
  <x:cols>
    <x:col min="1" max="1" width="8" customWidth="1"/>
    <x:col min="2" max="2" width="9" customWidth="1"/>
    <x:col min="3" max="3" width="6" customWidth="1"/>
    <x:col min="4" max="4" width="6" customWidth="1"/>
    <x:col min="5" max="5" width="15" customWidth="1"/>
    <x:col min="6" max="6" width="15" customWidth="1"/>
    <x:col min="7" max="7" width="10" customWidth="1"/>
    <x:col min="8" max="8" width="12" customWidth="1"/>
    <x:col min="9" max="9" width="9" customWidth="1"/>
    <x:col min="10" max="10" width="12" customWidth="1"/>
    <x:col min="11" max="11" width="12" customWidth="1"/>
    <x:col min="12" max="12" width="12" customWidth="1"/>
    <x:col min="13" max="13" width="11" customWidth="1"/>
    <x:col min="14" max="14" width="11" customWidth="1"/>
    <x:col min="15" max="15" width="12" customWidth="1"/>
    <x:col min="16" max="16" width="44" customWidth="1"/>
    <x:col min="17" max="17" width="44" customWidth="1"/>
  </x:cols>
  <x:sheetData>
    <x:row r="1">
      <x:c r="A1" s="1" t="inlineStr">
        <x:is>
          <x:t xml:space="preserve">Instruments</x:t>
        </x:is>
      </x:c>
    </x:row>
    <x:row r="2">
      <x:c r="A2" s="2" t="inlineStr">
        <x:is>
          <x:t xml:space="preserve">One row per preferred, in seniority order. $m. STRE converts at the live EUR/USD rate.</x:t>
        </x:is>
      </x:c>
    </x:row>
    <x:row r="4" ht="44" customHeight="1">
      <x:c r="A4" s="8" t="inlineStr">
        <x:is>
          <x:t xml:space="preserve">Ticker</x:t>
        </x:is>
      </x:c>
      <x:c r="B4" s="9" t="inlineStr">
        <x:is>
          <x:t xml:space="preserve">Name</x:t>
        </x:is>
      </x:c>
      <x:c r="C4" s="9" t="inlineStr">
        <x:is>
          <x:t xml:space="preserve">Ccy</x:t>
        </x:is>
      </x:c>
      <x:c r="D4" s="9" t="inlineStr">
        <x:is>
          <x:t xml:space="preserve">Rank</x:t>
        </x:is>
      </x:c>
      <x:c r="E4" s="9" t="inlineStr">
        <x:is>
          <x:t xml:space="preserve">Cumulative?</x:t>
        </x:is>
      </x:c>
      <x:c r="F4" s="9" t="inlineStr">
        <x:is>
          <x:t xml:space="preserve">Dividend paid in</x:t>
        </x:is>
      </x:c>
      <x:c r="G4" s="9" t="inlineStr">
        <x:is>
          <x:t xml:space="preserve">Rate (live)</x:t>
        </x:is>
      </x:c>
      <x:c r="H4" s="9" t="inlineStr">
        <x:is>
          <x:t xml:space="preserve">Notional (local m)</x:t>
        </x:is>
      </x:c>
      <x:c r="I4" s="9" t="inlineStr">
        <x:is>
          <x:t xml:space="preserve">FX to USD</x:t>
        </x:is>
      </x:c>
      <x:c r="J4" s="9" t="inlineStr">
        <x:is>
          <x:t xml:space="preserve">Notional ($m)</x:t>
        </x:is>
      </x:c>
      <x:c r="K4" s="9" t="inlineStr">
        <x:is>
          <x:t xml:space="preserve">Annual dividend ($m)</x:t>
        </x:is>
      </x:c>
      <x:c r="L4" s="9" t="inlineStr">
        <x:is>
          <x:t xml:space="preserve">Paid in cash ($m)</x:t>
        </x:is>
      </x:c>
      <x:c r="M4" s="9" t="inlineStr">
        <x:is>
          <x:t xml:space="preserve">Quarterly cash ($m)</x:t>
        </x:is>
      </x:c>
      <x:c r="N4" s="9" t="inlineStr">
        <x:is>
          <x:t xml:space="preserve">Share of cash dividends</x:t>
        </x:is>
      </x:c>
      <x:c r="O4" s="9" t="inlineStr">
        <x:is>
          <x:t xml:space="preserve">ATM remaining ($m)</x:t>
        </x:is>
      </x:c>
      <x:c r="P4" s="9" t="inlineStr">
        <x:is>
          <x:t xml:space="preserve">Payment schedule</x:t>
        </x:is>
      </x:c>
      <x:c r="Q4" s="9" t="inlineStr">
        <x:is>
          <x:t xml:space="preserve">Terms source</x:t>
        </x:is>
      </x:c>
    </x:row>
    <x:row r="5" ht="36" customHeight="1">
      <x:c r="A5" s="3" t="inlineStr">
        <x:is>
          <x:t xml:space="preserve">STRF</x:t>
        </x:is>
      </x:c>
      <x:c r="B5" s="42" t="inlineStr">
        <x:is>
          <x:t xml:space="preserve">Strife</x:t>
        </x:is>
      </x:c>
      <x:c r="C5" s="42" t="inlineStr">
        <x:is>
          <x:t xml:space="preserve">USD</x:t>
        </x:is>
      </x:c>
      <x:c r="D5" s="82" t="n">
        <x:f>Rank_STRF</x:f>
        <x:v>1</x:v>
      </x:c>
      <x:c r="E5" s="38" t="inlineStr">
        <x:is>
          <x:t xml:space="preserve">Yes, compounding + step-up</x:t>
        </x:is>
      </x:c>
      <x:c r="F5" s="38" t="inlineStr">
        <x:is>
          <x:t xml:space="preserve">Cash</x:t>
        </x:is>
      </x:c>
      <x:c r="G5" s="75" t="n">
        <x:f>Rate_STRF</x:f>
        <x:v>0.1</x:v>
      </x:c>
      <x:c r="H5" s="83" t="n">
        <x:f>Notional_STRF_In</x:f>
        <x:v>1283.969</x:v>
      </x:c>
      <x:c r="I5" s="77" t="n">
        <x:v>1</x:v>
      </x:c>
      <x:c r="J5" s="84" t="n">
        <x:f>H5*I5</x:f>
        <x:v>1283.969</x:v>
      </x:c>
      <x:c r="K5" s="84" t="n">
        <x:f>J5*G5</x:f>
        <x:v>128.39690000000002</x:v>
      </x:c>
      <x:c r="L5" s="84" t="n">
        <x:f>K5</x:f>
        <x:v>128.39690000000002</x:v>
      </x:c>
      <x:c r="M5" s="84" t="n">
        <x:f>L5/4</x:f>
        <x:v>32.099225000000004</x:v>
      </x:c>
      <x:c r="N5" s="85" t="n">
        <x:f>IF(Pref_Cash_Div_Total=0,0,L5/Pref_Cash_Div_Total)</x:f>
        <x:v>0.08430121197828182</x:v>
      </x:c>
      <x:c r="O5" s="83" t="n">
        <x:f>ATM_STRF</x:f>
        <x:v>1619.3</x:v>
      </x:c>
      <x:c r="P5" s="86" t="inlineStr">
        <x:is>
          <x:t xml:space="preserve">Quarterly: Mar/Jun/Sep/Dec 31 (record 15th). Daily from Jan 1 2027 if approved Oct 28</x:t>
        </x:is>
      </x:c>
      <x:c r="Q5" s="86" t="inlineStr">
        <x:is>
          <x:t xml:space="preserve">10-Q Note 10; 10-K Ex. 4.2</x:t>
        </x:is>
      </x:c>
    </x:row>
    <x:row r="6" ht="36" customHeight="1">
      <x:c r="A6" s="3" t="inlineStr">
        <x:is>
          <x:t xml:space="preserve">STRC</x:t>
        </x:is>
      </x:c>
      <x:c r="B6" s="42" t="inlineStr">
        <x:is>
          <x:t xml:space="preserve">Stretch</x:t>
        </x:is>
      </x:c>
      <x:c r="C6" s="42" t="inlineStr">
        <x:is>
          <x:t xml:space="preserve">USD</x:t>
        </x:is>
      </x:c>
      <x:c r="D6" s="82" t="n">
        <x:f>Rank_STRC</x:f>
        <x:v>2</x:v>
      </x:c>
      <x:c r="E6" s="38" t="inlineStr">
        <x:is>
          <x:t xml:space="preserve">Yes, compounding</x:t>
        </x:is>
      </x:c>
      <x:c r="F6" s="38" t="inlineStr">
        <x:is>
          <x:t xml:space="preserve">Cash</x:t>
        </x:is>
      </x:c>
      <x:c r="G6" s="75" t="n">
        <x:f>L_STRC</x:f>
        <x:v>0.12</x:v>
      </x:c>
      <x:c r="H6" s="83" t="n">
        <x:f>STRC_Notional_Now</x:f>
        <x:v>8792.1436</x:v>
      </x:c>
      <x:c r="I6" s="77" t="n">
        <x:v>1</x:v>
      </x:c>
      <x:c r="J6" s="84" t="n">
        <x:f>H6*I6</x:f>
        <x:v>8792.1436</x:v>
      </x:c>
      <x:c r="K6" s="84" t="n">
        <x:f>J6*G6</x:f>
        <x:v>1055.0572319999999</x:v>
      </x:c>
      <x:c r="L6" s="84" t="n">
        <x:f>K6</x:f>
        <x:v>1055.0572319999999</x:v>
      </x:c>
      <x:c r="M6" s="84" t="n">
        <x:f>L6/4</x:f>
        <x:v>263.76430799999997</x:v>
      </x:c>
      <x:c r="N6" s="85" t="n">
        <x:f>IF(Pref_Cash_Div_Total=0,0,L6/Pref_Cash_Div_Total)</x:f>
        <x:v>0.6927161276016106</x:v>
      </x:c>
      <x:c r="O6" s="83" t="n">
        <x:f>ATM_STRC</x:f>
        <x:v>17510.8</x:v>
      </x:c>
      <x:c r="P6" s="86" t="inlineStr">
        <x:is>
          <x:t xml:space="preserve">Semi-monthly (15th and month-end). Daily from Nov 1 2026 if approved Oct 28</x:t>
        </x:is>
      </x:c>
      <x:c r="Q6" s="86" t="inlineStr">
        <x:is>
          <x:t xml:space="preserve">Amended certificate Jun 15 2026; 8-K Oct 16 2026</x:t>
        </x:is>
      </x:c>
    </x:row>
    <x:row r="7" ht="36" customHeight="1">
      <x:c r="A7" s="3" t="inlineStr">
        <x:is>
          <x:t xml:space="preserve">STRE</x:t>
        </x:is>
      </x:c>
      <x:c r="B7" s="42" t="inlineStr">
        <x:is>
          <x:t xml:space="preserve">Stream</x:t>
        </x:is>
      </x:c>
      <x:c r="C7" s="42" t="inlineStr">
        <x:is>
          <x:t xml:space="preserve">EUR</x:t>
        </x:is>
      </x:c>
      <x:c r="D7" s="82" t="n">
        <x:f>Rank_STRE</x:f>
        <x:v>3</x:v>
      </x:c>
      <x:c r="E7" s="38" t="inlineStr">
        <x:is>
          <x:t xml:space="preserve">Yes, compounding + step-up</x:t>
        </x:is>
      </x:c>
      <x:c r="F7" s="38" t="inlineStr">
        <x:is>
          <x:t xml:space="preserve">Cash (EUR)</x:t>
        </x:is>
      </x:c>
      <x:c r="G7" s="75" t="n">
        <x:f>Rate_STRE</x:f>
        <x:v>0.1</x:v>
      </x:c>
      <x:c r="H7" s="83" t="n">
        <x:f>Notional_STRE_EUR</x:f>
        <x:v>775</x:v>
      </x:c>
      <x:c r="I7" s="87" t="n">
        <x:f>L_EURUSD</x:f>
        <x:v>1.1253</x:v>
      </x:c>
      <x:c r="J7" s="84" t="n">
        <x:f>H7*I7</x:f>
        <x:v>872.1075</x:v>
      </x:c>
      <x:c r="K7" s="84" t="n">
        <x:f>J7*G7</x:f>
        <x:v>87.21075</x:v>
      </x:c>
      <x:c r="L7" s="84" t="n">
        <x:f>K7</x:f>
        <x:v>87.21075</x:v>
      </x:c>
      <x:c r="M7" s="84" t="n">
        <x:f>L7/4</x:f>
        <x:v>21.8026875</x:v>
      </x:c>
      <x:c r="N7" s="85" t="n">
        <x:f>IF(Pref_Cash_Div_Total=0,0,L7/Pref_Cash_Div_Total)</x:f>
        <x:v>0.05725973074532906</x:v>
      </x:c>
      <x:c r="O7" s="88" t="inlineStr">
        <x:is>
          <x:t xml:space="preserve">n/a (LuxSE)</x:t>
        </x:is>
      </x:c>
      <x:c r="P7" s="86" t="inlineStr">
        <x:is>
          <x:t xml:space="preserve">Quarterly: Mar/Jun/Sep/Dec 31 (record 15th, London). Not in the daily proposal</x:t>
        </x:is>
      </x:c>
      <x:c r="Q7" s="86" t="inlineStr">
        <x:is>
          <x:t xml:space="preserve">STRE certificate Nov 12 2025; 8-K Aug 31 2026. Listed on Luxembourg Euro MTF</x:t>
        </x:is>
      </x:c>
    </x:row>
    <x:row r="8" ht="36" customHeight="1">
      <x:c r="A8" s="3" t="inlineStr">
        <x:is>
          <x:t xml:space="preserve">STRK</x:t>
        </x:is>
      </x:c>
      <x:c r="B8" s="42" t="inlineStr">
        <x:is>
          <x:t xml:space="preserve">Strike</x:t>
        </x:is>
      </x:c>
      <x:c r="C8" s="42" t="inlineStr">
        <x:is>
          <x:t xml:space="preserve">USD</x:t>
        </x:is>
      </x:c>
      <x:c r="D8" s="82" t="n">
        <x:f>Rank_STRK</x:f>
        <x:v>4</x:v>
      </x:c>
      <x:c r="E8" s="38" t="inlineStr">
        <x:is>
          <x:t xml:space="preserve">Yes, compounding</x:t>
        </x:is>
      </x:c>
      <x:c r="F8" s="38" t="inlineStr">
        <x:is>
          <x:t xml:space="preserve">Cash or MSTR shares</x:t>
        </x:is>
      </x:c>
      <x:c r="G8" s="75" t="n">
        <x:f>Rate_STRK</x:f>
        <x:v>0.08</x:v>
      </x:c>
      <x:c r="H8" s="83" t="n">
        <x:f>Notional_STRK_In</x:f>
        <x:v>1402.074</x:v>
      </x:c>
      <x:c r="I8" s="77" t="n">
        <x:v>1</x:v>
      </x:c>
      <x:c r="J8" s="84" t="n">
        <x:f>H8*I8</x:f>
        <x:v>1402.074</x:v>
      </x:c>
      <x:c r="K8" s="84" t="n">
        <x:f>J8*G8</x:f>
        <x:v>112.16592000000001</x:v>
      </x:c>
      <x:c r="L8" s="84" t="n">
        <x:f>IF(STRK_In_Stock="Yes",0,K8)</x:f>
        <x:v>112.16592000000001</x:v>
      </x:c>
      <x:c r="M8" s="84" t="n">
        <x:f>L8/4</x:f>
        <x:v>28.041480000000004</x:v>
      </x:c>
      <x:c r="N8" s="85" t="n">
        <x:f>IF(Pref_Cash_Div_Total=0,0,L8/Pref_Cash_Div_Total)</x:f>
        <x:v>0.07364448050271463</x:v>
      </x:c>
      <x:c r="O8" s="83" t="n">
        <x:f>ATM_STRK</x:f>
        <x:v>2100</x:v>
      </x:c>
      <x:c r="P8" s="86" t="inlineStr">
        <x:is>
          <x:t xml:space="preserve">Quarterly: Mar/Jun/Sep/Dec 31 (record 15th). Daily from Jan 1 2027 if approved</x:t>
        </x:is>
      </x:c>
      <x:c r="Q8" s="86" t="inlineStr">
        <x:is>
          <x:t xml:space="preserve">10-Q Note 10; 10-K Ex. 4.2. Converts into 0.1 MSTR</x:t>
        </x:is>
      </x:c>
    </x:row>
    <x:row r="9" ht="36" customHeight="1">
      <x:c r="A9" s="3" t="inlineStr">
        <x:is>
          <x:t xml:space="preserve">STRD</x:t>
        </x:is>
      </x:c>
      <x:c r="B9" s="42" t="inlineStr">
        <x:is>
          <x:t xml:space="preserve">Stride</x:t>
        </x:is>
      </x:c>
      <x:c r="C9" s="42" t="inlineStr">
        <x:is>
          <x:t xml:space="preserve">USD</x:t>
        </x:is>
      </x:c>
      <x:c r="D9" s="82" t="n">
        <x:f>Rank_STRD</x:f>
        <x:v>5</x:v>
      </x:c>
      <x:c r="E9" s="38" t="inlineStr">
        <x:is>
          <x:t xml:space="preserve">No</x:t>
        </x:is>
      </x:c>
      <x:c r="F9" s="38" t="inlineStr">
        <x:is>
          <x:t xml:space="preserve">Cash</x:t>
        </x:is>
      </x:c>
      <x:c r="G9" s="75" t="n">
        <x:f>Rate_STRD</x:f>
        <x:v>0.1</x:v>
      </x:c>
      <x:c r="H9" s="83" t="n">
        <x:f>Notional_STRD_In</x:f>
        <x:v>1402.422</x:v>
      </x:c>
      <x:c r="I9" s="77" t="n">
        <x:v>1</x:v>
      </x:c>
      <x:c r="J9" s="84" t="n">
        <x:f>H9*I9</x:f>
        <x:v>1402.422</x:v>
      </x:c>
      <x:c r="K9" s="84" t="n">
        <x:f>J9*G9</x:f>
        <x:v>140.2422</x:v>
      </x:c>
      <x:c r="L9" s="84" t="n">
        <x:f>K9</x:f>
        <x:v>140.2422</x:v>
      </x:c>
      <x:c r="M9" s="84" t="n">
        <x:f>L9/4</x:f>
        <x:v>35.06055</x:v>
      </x:c>
      <x:c r="N9" s="85" t="n">
        <x:f>IF(Pref_Cash_Div_Total=0,0,L9/Pref_Cash_Div_Total)</x:f>
        <x:v>0.09207844917206406</x:v>
      </x:c>
      <x:c r="O9" s="83" t="n">
        <x:f>ATM_STRD</x:f>
        <x:v>4014.8</x:v>
      </x:c>
      <x:c r="P9" s="86" t="inlineStr">
        <x:is>
          <x:t xml:space="preserve">Quarterly: Mar/Jun/Sep/Dec 31 (record 15th). Daily from Jan 1 2027 if approved</x:t>
        </x:is>
      </x:c>
      <x:c r="Q9" s="86" t="inlineStr">
        <x:is>
          <x:t xml:space="preserve">10-Q Note 10; 10-K Ex. 4.2</x:t>
        </x:is>
      </x:c>
    </x:row>
    <x:row r="10">
      <x:c r="A10" s="3" t="inlineStr">
        <x:is>
          <x:t xml:space="preserve">Total</x:t>
        </x:is>
      </x:c>
      <x:c r="J10" s="67" t="n">
        <x:f>SUM(J5:J9)</x:f>
        <x:v>13752.716100000001</x:v>
      </x:c>
      <x:c r="K10" s="67" t="n">
        <x:f>SUM(K5:K9)</x:f>
        <x:v>1523.0730019999996</x:v>
      </x:c>
      <x:c r="L10" s="67" t="n">
        <x:f>SUM(L5:L9)</x:f>
        <x:v>1523.0730019999996</x:v>
      </x:c>
      <x:c r="M10" s="67" t="n">
        <x:f>SUM(M5:M9)</x:f>
        <x:v>380.7682504999999</x:v>
      </x:c>
      <x:c r="N10" s="89" t="n">
        <x:f>SUM(N5:N9)</x:f>
        <x:v>1.0000000000000002</x:v>
      </x:c>
    </x:row>
    <x:row r="12">
      <x:c r="A12" s="26" t="inlineStr">
        <x:is>
          <x:t xml:space="preserve">Rank 1 is most senior. All five rank below the convertible notes. STRD is non-cumulative: a skipped STRD dividend is never owed.</x:t>
        </x:is>
      </x:c>
    </x:row>
    <x:row r="13">
      <x:c r="A13" s="26" t="inlineStr">
        <x:is>
          <x:t xml:space="preserve">STRF and STRE: unpaid dividends compound at a rate that steps up 1% per period to 18%, a strong incentive to pay them first.</x:t>
        </x:is>
      </x:c>
    </x:row>
    <x:row r="14">
      <x:c r="A14" s="26" t="inlineStr">
        <x:is>
          <x:t xml:space="preserve">Daily dividends: if approved on Oct 28 2026, STRC pays daily from Nov 1 2026 and STRF/STRK/STRD from Jan 1 2027. Timing changes; annual totals do not.</x:t>
        </x:is>
      </x:c>
    </x:row>
  </x:sheetData>
  <x:pageMargins left="0.7" right="0.7" top="0.75" bottom="0.75" header="0.3" footer="0.3"/>
</x:worksheet>
</file>

<file path=xl/worksheets/sheet6.xml><?xml version="1.0" encoding="utf-8"?>
<x:worksheet xmlns:x="http://schemas.openxmlformats.org/spreadsheetml/2006/main">
  <x:sheetPr>
    <x:tabColor rgb="FF404040"/>
  </x:sheetPr>
  <x:sheetViews>
    <x:sheetView showGridLines="0" workbookViewId="0">
      <x:pane xSplit="1" ySplit="4" topLeftCell="B5" activePane="bottomRight" state="frozen"/>
    </x:sheetView>
  </x:sheetViews>
  <x:sheetFormatPr baseColWidth="8" defaultRowHeight="15"/>
  <x:cols>
    <x:col min="1" max="1" width="60" customWidth="1"/>
    <x:col min="2" max="2" width="12" customWidth="1"/>
    <x:col min="3" max="3" width="12" customWidth="1"/>
    <x:col min="4" max="4" width="12" customWidth="1"/>
    <x:col min="5" max="5" width="12" customWidth="1"/>
    <x:col min="6" max="6" width="12" customWidth="1"/>
    <x:col min="7" max="7" width="12" customWidth="1"/>
    <x:col min="8" max="8" width="12" customWidth="1"/>
    <x:col min="9" max="9" width="12" customWidth="1"/>
    <x:col min="10" max="10" width="12" customWidth="1"/>
  </x:cols>
  <x:sheetData>
    <x:row r="1">
      <x:c r="A1" s="1" t="inlineStr">
        <x:is>
          <x:t xml:space="preserve">Obligations</x:t>
        </x:is>
      </x:c>
    </x:row>
    <x:row r="2">
      <x:c r="A2" s="2" t="inlineStr">
        <x:is>
          <x:t xml:space="preserve">Annual cash fixed charges by seniority, then an 8-quarter runway for the USD Reserve under the live scenario.</x:t>
        </x:is>
      </x:c>
    </x:row>
    <x:row r="4" ht="32" customHeight="1">
      <x:c r="A4" s="8" t="inlineStr">
        <x:is>
          <x:t xml:space="preserve">Claim (most senior first)</x:t>
        </x:is>
      </x:c>
      <x:c r="B4" s="9" t="inlineStr">
        <x:is>
          <x:t xml:space="preserve">Rank</x:t>
        </x:is>
      </x:c>
      <x:c r="C4" s="9" t="inlineStr">
        <x:is>
          <x:t xml:space="preserve">Annual cash ($m)</x:t>
        </x:is>
      </x:c>
      <x:c r="D4" s="9" t="inlineStr">
        <x:is>
          <x:t xml:space="preserve">Cumulative ($m)</x:t>
        </x:is>
      </x:c>
      <x:c r="E4" s="9" t="inlineStr">
        <x:is>
          <x:t xml:space="preserve">Share of total</x:t>
        </x:is>
      </x:c>
      <x:c r="F4" s="9" t="inlineStr">
        <x:is>
          <x:t xml:space="preserve">Principal / notional ($m)</x:t>
        </x:is>
      </x:c>
      <x:c r="G4" s="9" t="inlineStr">
        <x:is>
          <x:t xml:space="preserve">Cumulative claim ($m)</x:t>
        </x:is>
      </x:c>
    </x:row>
    <x:row r="5">
      <x:c r="A5" s="42" t="inlineStr">
        <x:is>
          <x:t xml:space="preserve">Debt interest</x:t>
        </x:is>
      </x:c>
      <x:c r="B5" s="90" t="n">
        <x:v>0</x:v>
      </x:c>
      <x:c r="C5" s="83" t="n">
        <x:f>Conv_Interest_Annual</x:f>
        <x:v>36.6</x:v>
      </x:c>
      <x:c r="D5" s="84" t="n">
        <x:f>C5</x:f>
        <x:v>36.6</x:v>
      </x:c>
      <x:c r="E5" s="85" t="n">
        <x:f>C5/Charges_Total</x:f>
        <x:v>0.023466457361938746</x:v>
      </x:c>
      <x:c r="F5" s="83" t="n">
        <x:f>Debt_Principal</x:f>
        <x:v>6750</x:v>
      </x:c>
      <x:c r="G5" s="84" t="n">
        <x:f>F5</x:f>
        <x:v>6750</x:v>
      </x:c>
    </x:row>
    <x:row r="6">
      <x:c r="A6" s="42" t="inlineStr">
        <x:is>
          <x:t xml:space="preserve">STRF</x:t>
        </x:is>
      </x:c>
      <x:c r="B6" s="82" t="n">
        <x:f>Rank_STRF</x:f>
        <x:v>1</x:v>
      </x:c>
      <x:c r="C6" s="83" t="n">
        <x:f>Div_STRF</x:f>
        <x:v>128.39690000000002</x:v>
      </x:c>
      <x:c r="D6" s="84" t="n">
        <x:f>D5+C6</x:f>
        <x:v>164.9969</x:v>
      </x:c>
      <x:c r="E6" s="85" t="n">
        <x:f>C6/Charges_Total</x:f>
        <x:v>0.0823229611818337</x:v>
      </x:c>
      <x:c r="F6" s="83" t="n">
        <x:f>Notional_STRF</x:f>
        <x:v>1283.969</x:v>
      </x:c>
      <x:c r="G6" s="84" t="n">
        <x:f>G5+F6</x:f>
        <x:v>8033.969</x:v>
      </x:c>
    </x:row>
    <x:row r="7">
      <x:c r="A7" s="42" t="inlineStr">
        <x:is>
          <x:t xml:space="preserve">STRC</x:t>
        </x:is>
      </x:c>
      <x:c r="B7" s="82" t="n">
        <x:f>Rank_STRC</x:f>
        <x:v>2</x:v>
      </x:c>
      <x:c r="C7" s="83" t="n">
        <x:f>Div_STRC</x:f>
        <x:v>1055.0572319999999</x:v>
      </x:c>
      <x:c r="D7" s="84" t="n">
        <x:f>D6+C7</x:f>
        <x:v>1220.054132</x:v>
      </x:c>
      <x:c r="E7" s="85" t="n">
        <x:f>C7/Charges_Total</x:f>
        <x:v>0.6764605341293201</x:v>
      </x:c>
      <x:c r="F7" s="83" t="n">
        <x:f>Notional_STRC</x:f>
        <x:v>8792.1436</x:v>
      </x:c>
      <x:c r="G7" s="84" t="n">
        <x:f>G6+F7</x:f>
        <x:v>16826.1126</x:v>
      </x:c>
    </x:row>
    <x:row r="8">
      <x:c r="A8" s="42" t="inlineStr">
        <x:is>
          <x:t xml:space="preserve">STRE</x:t>
        </x:is>
      </x:c>
      <x:c r="B8" s="82" t="n">
        <x:f>Rank_STRE</x:f>
        <x:v>3</x:v>
      </x:c>
      <x:c r="C8" s="83" t="n">
        <x:f>Div_STRE</x:f>
        <x:v>87.21075</x:v>
      </x:c>
      <x:c r="D8" s="84" t="n">
        <x:f>D7+C8</x:f>
        <x:v>1307.264882</x:v>
      </x:c>
      <x:c r="E8" s="85" t="n">
        <x:f>C8/Charges_Total</x:f>
        <x:v>0.05591604771523769</x:v>
      </x:c>
      <x:c r="F8" s="83" t="n">
        <x:f>Notional_STRE</x:f>
        <x:v>872.1075</x:v>
      </x:c>
      <x:c r="G8" s="84" t="n">
        <x:f>G7+F8</x:f>
        <x:v>17698.2201</x:v>
      </x:c>
    </x:row>
    <x:row r="9">
      <x:c r="A9" s="42" t="inlineStr">
        <x:is>
          <x:t xml:space="preserve">STRK</x:t>
        </x:is>
      </x:c>
      <x:c r="B9" s="82" t="n">
        <x:f>Rank_STRK</x:f>
        <x:v>4</x:v>
      </x:c>
      <x:c r="C9" s="83" t="n">
        <x:f>Div_STRK_Cash</x:f>
        <x:v>112.16592000000001</x:v>
      </x:c>
      <x:c r="D9" s="84" t="n">
        <x:f>D8+C9</x:f>
        <x:v>1419.4308019999999</x:v>
      </x:c>
      <x:c r="E9" s="85" t="n">
        <x:f>C9/Charges_Total</x:f>
        <x:v>0.07191630544105554</x:v>
      </x:c>
      <x:c r="F9" s="83" t="n">
        <x:f>Notional_STRK</x:f>
        <x:v>1402.074</x:v>
      </x:c>
      <x:c r="G9" s="84" t="n">
        <x:f>G8+F9</x:f>
        <x:v>19100.2941</x:v>
      </x:c>
    </x:row>
    <x:row r="10">
      <x:c r="A10" s="42" t="inlineStr">
        <x:is>
          <x:t xml:space="preserve">STRD</x:t>
        </x:is>
      </x:c>
      <x:c r="B10" s="82" t="n">
        <x:f>Rank_STRD</x:f>
        <x:v>5</x:v>
      </x:c>
      <x:c r="C10" s="83" t="n">
        <x:f>Div_STRD</x:f>
        <x:v>140.2422</x:v>
      </x:c>
      <x:c r="D10" s="84" t="n">
        <x:f>D9+C10</x:f>
        <x:v>1559.6730019999998</x:v>
      </x:c>
      <x:c r="E10" s="85" t="n">
        <x:f>C10/Charges_Total</x:f>
        <x:v>0.08991769417061438</x:v>
      </x:c>
      <x:c r="F10" s="83" t="n">
        <x:f>Notional_STRD</x:f>
        <x:v>1402.422</x:v>
      </x:c>
      <x:c r="G10" s="84" t="n">
        <x:f>G9+F10</x:f>
        <x:v>20502.716099999998</x:v>
      </x:c>
    </x:row>
    <x:row r="11">
      <x:c r="A11" s="3" t="inlineStr">
        <x:is>
          <x:t xml:space="preserve">Total cash fixed charges</x:t>
        </x:is>
      </x:c>
      <x:c r="C11" s="91" t="n">
        <x:f>SUM(C5:C10)</x:f>
        <x:v>1559.6730019999998</x:v>
      </x:c>
      <x:c r="F11" s="67" t="n">
        <x:f>SUM(F5:F10)</x:f>
        <x:v>20502.716099999998</x:v>
      </x:c>
    </x:row>
    <x:row r="12">
      <x:c r="A12" s="26" t="inlineStr">
        <x:is>
          <x:t xml:space="preserve">Rank 0 = debt. STRK shows zero cash if the Inputs toggle pays it in MSTR shares.</x:t>
        </x:is>
      </x:c>
    </x:row>
    <x:row r="14">
      <x:c r="A14" s="40" t="inlineStr">
        <x:is>
          <x:t xml:space="preserve">Reserve runway, next 8 quarters (live scenario). Common stock proceeds pay charges first.</x:t>
        </x:is>
      </x:c>
      <x:c r="B14" s="41" t="n"/>
      <x:c r="C14" s="41" t="n"/>
      <x:c r="D14" s="41" t="n"/>
      <x:c r="E14" s="41" t="n"/>
      <x:c r="F14" s="41" t="n"/>
      <x:c r="G14" s="41" t="n"/>
      <x:c r="H14" s="41" t="n"/>
      <x:c r="I14" s="41" t="n"/>
    </x:row>
    <x:row r="15">
      <x:c r="A15" s="8" t="inlineStr">
        <x:is>
          <x:t xml:space="preserve">$m</x:t>
        </x:is>
      </x:c>
      <x:c r="B15" s="9" t="inlineStr">
        <x:is>
          <x:t xml:space="preserve">Q4 2026</x:t>
        </x:is>
      </x:c>
      <x:c r="C15" s="9" t="inlineStr">
        <x:is>
          <x:t xml:space="preserve">Q1 2027</x:t>
        </x:is>
      </x:c>
      <x:c r="D15" s="9" t="inlineStr">
        <x:is>
          <x:t xml:space="preserve">Q2 2027</x:t>
        </x:is>
      </x:c>
      <x:c r="E15" s="9" t="inlineStr">
        <x:is>
          <x:t xml:space="preserve">Q3 2027</x:t>
        </x:is>
      </x:c>
      <x:c r="F15" s="9" t="inlineStr">
        <x:is>
          <x:t xml:space="preserve">Q4 2027</x:t>
        </x:is>
      </x:c>
      <x:c r="G15" s="9" t="inlineStr">
        <x:is>
          <x:t xml:space="preserve">Q1 2028</x:t>
        </x:is>
      </x:c>
      <x:c r="H15" s="9" t="inlineStr">
        <x:is>
          <x:t xml:space="preserve">Q2 2028</x:t>
        </x:is>
      </x:c>
      <x:c r="I15" s="9" t="inlineStr">
        <x:is>
          <x:t xml:space="preserve">Q3 2028</x:t>
        </x:is>
      </x:c>
    </x:row>
    <x:row r="16">
      <x:c r="A16" s="2" t="inlineStr">
        <x:is>
          <x:t xml:space="preserve">Quarter starts</x:t>
        </x:is>
      </x:c>
      <x:c r="B16" s="92" t="n">
        <x:v>46296</x:v>
      </x:c>
      <x:c r="C16" s="92" t="n">
        <x:v>46388</x:v>
      </x:c>
      <x:c r="D16" s="92" t="n">
        <x:v>46478</x:v>
      </x:c>
      <x:c r="E16" s="92" t="n">
        <x:v>46569</x:v>
      </x:c>
      <x:c r="F16" s="92" t="n">
        <x:v>46661</x:v>
      </x:c>
      <x:c r="G16" s="92" t="n">
        <x:v>46753</x:v>
      </x:c>
      <x:c r="H16" s="92" t="n">
        <x:v>46844</x:v>
      </x:c>
      <x:c r="I16" s="92" t="n">
        <x:v>46935</x:v>
      </x:c>
    </x:row>
    <x:row r="17">
      <x:c r="A17" s="2" t="inlineStr">
        <x:is>
          <x:t xml:space="preserve">Quarter ends</x:t>
        </x:is>
      </x:c>
      <x:c r="B17" s="92" t="n">
        <x:v>46387</x:v>
      </x:c>
      <x:c r="C17" s="92" t="n">
        <x:v>46477</x:v>
      </x:c>
      <x:c r="D17" s="92" t="n">
        <x:v>46568</x:v>
      </x:c>
      <x:c r="E17" s="92" t="n">
        <x:v>46660</x:v>
      </x:c>
      <x:c r="F17" s="92" t="n">
        <x:v>46752</x:v>
      </x:c>
      <x:c r="G17" s="92" t="n">
        <x:v>46843</x:v>
      </x:c>
      <x:c r="H17" s="92" t="n">
        <x:v>46934</x:v>
      </x:c>
      <x:c r="I17" s="92" t="n">
        <x:v>47026</x:v>
      </x:c>
    </x:row>
    <x:row r="18">
      <x:c r="A18" s="42" t="inlineStr">
        <x:is>
          <x:t xml:space="preserve">Fixed charges (annual / 4)</x:t>
        </x:is>
      </x:c>
      <x:c r="B18" s="84" t="n">
        <x:f>Charges_Total/4</x:f>
        <x:v>389.91825049999994</x:v>
      </x:c>
      <x:c r="C18" s="84" t="n">
        <x:f>Charges_Total/4</x:f>
        <x:v>389.91825049999994</x:v>
      </x:c>
      <x:c r="D18" s="84" t="n">
        <x:f>Charges_Total/4</x:f>
        <x:v>389.91825049999994</x:v>
      </x:c>
      <x:c r="E18" s="84" t="n">
        <x:f>Charges_Total/4</x:f>
        <x:v>389.91825049999994</x:v>
      </x:c>
      <x:c r="F18" s="84" t="n">
        <x:f>Charges_Total/4</x:f>
        <x:v>389.91825049999994</x:v>
      </x:c>
      <x:c r="G18" s="84" t="n">
        <x:f>Charges_Total/4</x:f>
        <x:v>389.91825049999994</x:v>
      </x:c>
      <x:c r="H18" s="84" t="n">
        <x:f>Charges_Total/4</x:f>
        <x:v>389.91825049999994</x:v>
      </x:c>
      <x:c r="I18" s="84" t="n">
        <x:f>Charges_Total/4</x:f>
        <x:v>389.91825049999994</x:v>
      </x:c>
    </x:row>
    <x:row r="19">
      <x:c r="A19" s="42" t="inlineStr">
        <x:is>
          <x:t xml:space="preserve">MSTR ATM capacity, opening</x:t>
        </x:is>
      </x:c>
      <x:c r="B19" s="84" t="n">
        <x:f>ATM_Cap</x:f>
        <x:v>18807.6</x:v>
      </x:c>
      <x:c r="C19" s="84" t="n">
        <x:f>MAX(0,B19-B20)</x:f>
        <x:v>18417.6817495</x:v>
      </x:c>
      <x:c r="D19" s="84" t="n">
        <x:f>MAX(0,C19-C20)</x:f>
        <x:v>18027.763499</x:v>
      </x:c>
      <x:c r="E19" s="84" t="n">
        <x:f>MAX(0,D19-D20)</x:f>
        <x:v>17637.8452485</x:v>
      </x:c>
      <x:c r="F19" s="84" t="n">
        <x:f>MAX(0,E19-E20)</x:f>
        <x:v>17247.926998000003</x:v>
      </x:c>
      <x:c r="G19" s="84" t="n">
        <x:f>MAX(0,F19-F20)</x:f>
        <x:v>16858.008747500004</x:v>
      </x:c>
      <x:c r="H19" s="84" t="n">
        <x:f>MAX(0,G19-G20)</x:f>
        <x:v>16468.090497000005</x:v>
      </x:c>
      <x:c r="I19" s="84" t="n">
        <x:f>MAX(0,H19-H20)</x:f>
        <x:v>16078.172246500004</x:v>
      </x:c>
    </x:row>
    <x:row r="20">
      <x:c r="A20" s="42" t="inlineStr">
        <x:is>
          <x:t xml:space="preserve">Common stock proceeds used for charges</x:t>
        </x:is>
      </x:c>
      <x:c r="B20" s="84" t="n">
        <x:f>MIN(Common_Per_Year/4,B18,B19)</x:f>
        <x:v>389.91825049999994</x:v>
      </x:c>
      <x:c r="C20" s="84" t="n">
        <x:f>MIN(Common_Per_Year/4,C18,C19)</x:f>
        <x:v>389.91825049999994</x:v>
      </x:c>
      <x:c r="D20" s="84" t="n">
        <x:f>MIN(Common_Per_Year/4,D18,D19)</x:f>
        <x:v>389.91825049999994</x:v>
      </x:c>
      <x:c r="E20" s="84" t="n">
        <x:f>MIN(Common_Per_Year/4,E18,E19)</x:f>
        <x:v>389.91825049999994</x:v>
      </x:c>
      <x:c r="F20" s="84" t="n">
        <x:f>MIN(Common_Per_Year/4,F18,F19)</x:f>
        <x:v>389.91825049999994</x:v>
      </x:c>
      <x:c r="G20" s="84" t="n">
        <x:f>MIN(Common_Per_Year/4,G18,G19)</x:f>
        <x:v>389.91825049999994</x:v>
      </x:c>
      <x:c r="H20" s="84" t="n">
        <x:f>MIN(Common_Per_Year/4,H18,H19)</x:f>
        <x:v>389.91825049999994</x:v>
      </x:c>
      <x:c r="I20" s="84" t="n">
        <x:f>MIN(Common_Per_Year/4,I18,I19)</x:f>
        <x:v>389.91825049999994</x:v>
      </x:c>
    </x:row>
    <x:row r="21">
      <x:c r="A21" s="42" t="inlineStr">
        <x:is>
          <x:t xml:space="preserve">Draw on the Reserve</x:t>
        </x:is>
      </x:c>
      <x:c r="B21" s="84" t="n">
        <x:f>B18-B20</x:f>
        <x:v>0</x:v>
      </x:c>
      <x:c r="C21" s="84" t="n">
        <x:f>C18-C20</x:f>
        <x:v>0</x:v>
      </x:c>
      <x:c r="D21" s="84" t="n">
        <x:f>D18-D20</x:f>
        <x:v>0</x:v>
      </x:c>
      <x:c r="E21" s="84" t="n">
        <x:f>E18-E20</x:f>
        <x:v>0</x:v>
      </x:c>
      <x:c r="F21" s="84" t="n">
        <x:f>F18-F20</x:f>
        <x:v>0</x:v>
      </x:c>
      <x:c r="G21" s="84" t="n">
        <x:f>G18-G20</x:f>
        <x:v>0</x:v>
      </x:c>
      <x:c r="H21" s="84" t="n">
        <x:f>H18-H20</x:f>
        <x:v>0</x:v>
      </x:c>
      <x:c r="I21" s="84" t="n">
        <x:f>I18-I20</x:f>
        <x:v>0</x:v>
      </x:c>
    </x:row>
    <x:row r="22">
      <x:c r="A22" s="42" t="inlineStr">
        <x:is>
          <x:t xml:space="preserve">Reserve, opening</x:t>
        </x:is>
      </x:c>
      <x:c r="B22" s="84" t="n">
        <x:f>Reserve_Live</x:f>
        <x:v>4880</x:v>
      </x:c>
      <x:c r="C22" s="84" t="n">
        <x:f>B23</x:f>
        <x:v>4880</x:v>
      </x:c>
      <x:c r="D22" s="84" t="n">
        <x:f>C23</x:f>
        <x:v>4880</x:v>
      </x:c>
      <x:c r="E22" s="84" t="n">
        <x:f>D23</x:f>
        <x:v>4880</x:v>
      </x:c>
      <x:c r="F22" s="84" t="n">
        <x:f>E23</x:f>
        <x:v>4880</x:v>
      </x:c>
      <x:c r="G22" s="84" t="n">
        <x:f>F23</x:f>
        <x:v>4880</x:v>
      </x:c>
      <x:c r="H22" s="84" t="n">
        <x:f>G23</x:f>
        <x:v>4880</x:v>
      </x:c>
      <x:c r="I22" s="84" t="n">
        <x:f>H23</x:f>
        <x:v>4880</x:v>
      </x:c>
    </x:row>
    <x:row r="23">
      <x:c r="A23" s="3" t="inlineStr">
        <x:is>
          <x:t xml:space="preserve">Reserve, closing</x:t>
        </x:is>
      </x:c>
      <x:c r="B23" s="93" t="n">
        <x:f>B22-B21</x:f>
        <x:v>4880</x:v>
      </x:c>
      <x:c r="C23" s="93" t="n">
        <x:f>C22-C21</x:f>
        <x:v>4880</x:v>
      </x:c>
      <x:c r="D23" s="93" t="n">
        <x:f>D22-D21</x:f>
        <x:v>4880</x:v>
      </x:c>
      <x:c r="E23" s="93" t="n">
        <x:f>E22-E21</x:f>
        <x:v>4880</x:v>
      </x:c>
      <x:c r="F23" s="93" t="n">
        <x:f>F22-F21</x:f>
        <x:v>4880</x:v>
      </x:c>
      <x:c r="G23" s="93" t="n">
        <x:f>G22-G21</x:f>
        <x:v>4880</x:v>
      </x:c>
      <x:c r="H23" s="93" t="n">
        <x:f>H22-H21</x:f>
        <x:v>4880</x:v>
      </x:c>
      <x:c r="I23" s="93" t="n">
        <x:f>I22-I21</x:f>
        <x:v>4880</x:v>
      </x:c>
    </x:row>
    <x:row r="24">
      <x:c r="A24" s="42" t="inlineStr">
        <x:is>
          <x:t xml:space="preserve">Closing Reserve, months of charges</x:t>
        </x:is>
      </x:c>
      <x:c r="B24" s="79" t="n">
        <x:f>IF(Charges_Total=0,0,B23/Charges_Total*12)</x:f>
        <x:v>37.54633177910199</x:v>
      </x:c>
      <x:c r="C24" s="79" t="n">
        <x:f>IF(Charges_Total=0,0,C23/Charges_Total*12)</x:f>
        <x:v>37.54633177910199</x:v>
      </x:c>
      <x:c r="D24" s="79" t="n">
        <x:f>IF(Charges_Total=0,0,D23/Charges_Total*12)</x:f>
        <x:v>37.54633177910199</x:v>
      </x:c>
      <x:c r="E24" s="79" t="n">
        <x:f>IF(Charges_Total=0,0,E23/Charges_Total*12)</x:f>
        <x:v>37.54633177910199</x:v>
      </x:c>
      <x:c r="F24" s="79" t="n">
        <x:f>IF(Charges_Total=0,0,F23/Charges_Total*12)</x:f>
        <x:v>37.54633177910199</x:v>
      </x:c>
      <x:c r="G24" s="79" t="n">
        <x:f>IF(Charges_Total=0,0,G23/Charges_Total*12)</x:f>
        <x:v>37.54633177910199</x:v>
      </x:c>
      <x:c r="H24" s="79" t="n">
        <x:f>IF(Charges_Total=0,0,H23/Charges_Total*12)</x:f>
        <x:v>37.54633177910199</x:v>
      </x:c>
      <x:c r="I24" s="79" t="n">
        <x:f>IF(Charges_Total=0,0,I23/Charges_Total*12)</x:f>
        <x:v>37.54633177910199</x:v>
      </x:c>
    </x:row>
    <x:row r="25">
      <x:c r="A25" s="42" t="inlineStr">
        <x:is>
          <x:t xml:space="preserve">Status</x:t>
        </x:is>
      </x:c>
      <x:c r="B25" s="94" t="str">
        <x:f>IF(B23&lt;0,"SHORTFALL",IF(B24&lt;Reserve_Min_Months,"Below policy","ok"))</x:f>
        <x:v>ok</x:v>
      </x:c>
      <x:c r="C25" s="94" t="str">
        <x:f>IF(C23&lt;0,"SHORTFALL",IF(C24&lt;Reserve_Min_Months,"Below policy","ok"))</x:f>
        <x:v>ok</x:v>
      </x:c>
      <x:c r="D25" s="94" t="str">
        <x:f>IF(D23&lt;0,"SHORTFALL",IF(D24&lt;Reserve_Min_Months,"Below policy","ok"))</x:f>
        <x:v>ok</x:v>
      </x:c>
      <x:c r="E25" s="94" t="str">
        <x:f>IF(E23&lt;0,"SHORTFALL",IF(E24&lt;Reserve_Min_Months,"Below policy","ok"))</x:f>
        <x:v>ok</x:v>
      </x:c>
      <x:c r="F25" s="94" t="str">
        <x:f>IF(F23&lt;0,"SHORTFALL",IF(F24&lt;Reserve_Min_Months,"Below policy","ok"))</x:f>
        <x:v>ok</x:v>
      </x:c>
      <x:c r="G25" s="94" t="str">
        <x:f>IF(G23&lt;0,"SHORTFALL",IF(G24&lt;Reserve_Min_Months,"Below policy","ok"))</x:f>
        <x:v>ok</x:v>
      </x:c>
      <x:c r="H25" s="94" t="str">
        <x:f>IF(H23&lt;0,"SHORTFALL",IF(H24&lt;Reserve_Min_Months,"Below policy","ok"))</x:f>
        <x:v>ok</x:v>
      </x:c>
      <x:c r="I25" s="94" t="str">
        <x:f>IF(I23&lt;0,"SHORTFALL",IF(I24&lt;Reserve_Min_Months,"Below policy","ok"))</x:f>
        <x:v>ok</x:v>
      </x:c>
    </x:row>
    <x:row r="26">
      <x:c r="A26" s="3" t="inlineStr">
        <x:is>
          <x:t xml:space="preserve">Convertible principal puttable this quarter (not a Reserve use)</x:t>
        </x:is>
      </x:c>
      <x:c r="B26" s="93" t="n">
        <x:f>SUMPRODUCT((Conv_PutDates&gt;=B16)*(Conv_PutDates&lt;=B17)*Conv_Principals)</x:f>
        <x:v>0</x:v>
      </x:c>
      <x:c r="C26" s="93" t="n">
        <x:f>SUMPRODUCT((Conv_PutDates&gt;=C16)*(Conv_PutDates&lt;=C17)*Conv_Principals)</x:f>
        <x:v>0</x:v>
      </x:c>
      <x:c r="D26" s="93" t="n">
        <x:f>SUMPRODUCT((Conv_PutDates&gt;=D16)*(Conv_PutDates&lt;=D17)*Conv_Principals)</x:f>
        <x:v>0</x:v>
      </x:c>
      <x:c r="E26" s="93" t="n">
        <x:f>SUMPRODUCT((Conv_PutDates&gt;=E16)*(Conv_PutDates&lt;=E17)*Conv_Principals)</x:f>
        <x:v>1010</x:v>
      </x:c>
      <x:c r="F26" s="93" t="n">
        <x:f>SUMPRODUCT((Conv_PutDates&gt;=F16)*(Conv_PutDates&lt;=F17)*Conv_Principals)</x:f>
        <x:v>0</x:v>
      </x:c>
      <x:c r="G26" s="93" t="n">
        <x:f>SUMPRODUCT((Conv_PutDates&gt;=G16)*(Conv_PutDates&lt;=G17)*Conv_Principals)</x:f>
        <x:v>2000</x:v>
      </x:c>
      <x:c r="H26" s="93" t="n">
        <x:f>SUMPRODUCT((Conv_PutDates&gt;=H16)*(Conv_PutDates&lt;=H17)*Conv_Principals)</x:f>
        <x:v>1500</x:v>
      </x:c>
      <x:c r="I26" s="93" t="n">
        <x:f>SUMPRODUCT((Conv_PutDates&gt;=I16)*(Conv_PutDates&lt;=I17)*Conv_Principals)</x:f>
        <x:v>1403.7</x:v>
      </x:c>
    </x:row>
    <x:row r="27">
      <x:c r="A27" s="3" t="inlineStr">
        <x:is>
          <x:t xml:space="preserve">Total puttable in the window</x:t>
        </x:is>
      </x:c>
      <x:c r="B27" s="93" t="n">
        <x:f>SUM(B26:I26)</x:f>
        <x:v>5913.7</x:v>
      </x:c>
    </x:row>
    <x:row r="29">
      <x:c r="A29" s="26" t="inlineStr">
        <x:is>
          <x:t xml:space="preserve">Accrual timing: each claim is spread evenly across quarters. Actual dates differ (convertibles pay semi-annually; STRC semi-monthly, daily if approved).</x:t>
        </x:is>
      </x:c>
    </x:row>
    <x:row r="30">
      <x:c r="A30" s="26" t="inlineStr">
        <x:is>
          <x:t xml:space="preserve">'Below policy' = closing Reserve under the 12-month minimum. Topping it back up needs equity, BTC sales or board approval to run lower.</x:t>
        </x:is>
      </x:c>
    </x:row>
    <x:row r="31">
      <x:c r="A31" s="26" t="inlineStr">
        <x:is>
          <x:t xml:space="preserve">Puts are principal, not dividends or interest, so the Reserve is not designated for them. They matter because refinancing them competes for the same equity capacity.</x:t>
        </x:is>
      </x:c>
    </x:row>
  </x:sheetData>
  <x:conditionalFormatting sqref="B25:I25">
    <x:cfRule type="cellIs" dxfId="1" priority="1" operator="equal">
      <x:formula>"SHORTFALL"</x:formula>
    </x:cfRule>
    <x:cfRule type="cellIs" dxfId="5" priority="2" operator="equal">
      <x:formula>"Below policy"</x:formula>
    </x:cfRule>
  </x:conditionalFormatting>
  <x:conditionalFormatting sqref="B26:I26">
    <x:cfRule type="cellIs" dxfId="2" priority="3" operator="greaterThan">
      <x:formula>0</x:formula>
    </x:cfRule>
  </x:conditionalFormatting>
  <x:pageMargins left="0.7" right="0.7" top="0.75" bottom="0.75" header="0.3" footer="0.3"/>
</x:worksheet>
</file>

<file path=xl/worksheets/sheet7.xml><?xml version="1.0" encoding="utf-8"?>
<x:worksheet xmlns:x="http://schemas.openxmlformats.org/spreadsheetml/2006/main">
  <x:sheetPr>
    <x:tabColor rgb="FF404040"/>
  </x:sheetPr>
  <x:sheetViews>
    <x:sheetView showGridLines="0" workbookViewId="0"/>
  </x:sheetViews>
  <x:sheetFormatPr baseColWidth="8" defaultRowHeight="15"/>
  <x:cols>
    <x:col min="1" max="1" width="50" customWidth="1"/>
    <x:col min="2" max="2" width="16" customWidth="1"/>
    <x:col min="3" max="3" width="10" customWidth="1"/>
    <x:col min="4" max="4" width="90" customWidth="1"/>
  </x:cols>
  <x:sheetData>
    <x:row r="1">
      <x:c r="A1" s="1" t="inlineStr">
        <x:is>
          <x:t xml:space="preserve">Liquidity</x:t>
        </x:is>
      </x:c>
    </x:row>
    <x:row r="2">
      <x:c r="A2" s="2" t="inlineStr">
        <x:is>
          <x:t xml:space="preserve">Three sources of cash, kept separate: the USD Reserve, common stock Strategy can sell, and bitcoin.</x:t>
        </x:is>
      </x:c>
    </x:row>
    <x:row r="4">
      <x:c r="A4" s="8" t="inlineStr">
        <x:is>
          <x:t xml:space="preserve">Line</x:t>
        </x:is>
      </x:c>
      <x:c r="B4" s="9" t="inlineStr">
        <x:is>
          <x:t xml:space="preserve">Value</x:t>
        </x:is>
      </x:c>
      <x:c r="C4" s="9" t="inlineStr">
        <x:is>
          <x:t xml:space="preserve">Unit</x:t>
        </x:is>
      </x:c>
      <x:c r="D4" s="9" t="inlineStr">
        <x:is>
          <x:t xml:space="preserve">How it is calculated</x:t>
        </x:is>
      </x:c>
    </x:row>
    <x:row r="5">
      <x:c r="A5" s="40" t="inlineStr">
        <x:is>
          <x:t xml:space="preserve">Today (observed). Gives the Base mNAV</x:t>
        </x:is>
      </x:c>
      <x:c r="B5" s="41" t="n"/>
      <x:c r="C5" s="41" t="n"/>
      <x:c r="D5" s="41" t="n"/>
    </x:row>
    <x:row r="6">
      <x:c r="A6" s="42" t="inlineStr">
        <x:is>
          <x:t xml:space="preserve">Preferred notional at spot FX</x:t>
        </x:is>
      </x:c>
      <x:c r="B6" s="95" t="n">
        <x:f>Notional_STRF_In+STRC_Notional_Now+Notional_STRK_In+Notional_STRD_In+Notional_STRE_EUR*EURUSD_Spot</x:f>
        <x:v>13752.716100000001</x:v>
      </x:c>
      <x:c r="C6" s="2" t="inlineStr">
        <x:is>
          <x:t xml:space="preserve">$m</x:t>
        </x:is>
      </x:c>
      <x:c r="D6" s="45" t="inlineStr">
        <x:is>
          <x:t xml:space="preserve">Inputs only, so the Base mNAV does not move with the selected scenario</x:t>
        </x:is>
      </x:c>
    </x:row>
    <x:row r="7">
      <x:c r="A7" s="42" t="inlineStr">
        <x:is>
          <x:t xml:space="preserve">MSTR market cap</x:t>
        </x:is>
      </x:c>
      <x:c r="B7" s="95" t="n">
        <x:f>MSTR_Price*MSTR_Shares</x:f>
        <x:v>63808.22169</x:v>
      </x:c>
      <x:c r="C7" s="2" t="inlineStr">
        <x:is>
          <x:t xml:space="preserve">$m</x:t>
        </x:is>
      </x:c>
      <x:c r="D7" s="45" t="inlineStr">
        <x:is>
          <x:t xml:space="preserve">Price x Class A + Class B shares</x:t>
        </x:is>
      </x:c>
    </x:row>
    <x:row r="8">
      <x:c r="A8" s="42" t="inlineStr">
        <x:is>
          <x:t xml:space="preserve">Enterprise value</x:t>
        </x:is>
      </x:c>
      <x:c r="B8" s="95" t="n">
        <x:f>MSTR_MktCap_Now+Debt_Principal+Pref_Notional_Spot-USD_Reserve-USD_Cash</x:f>
        <x:v>78790.43779000001</x:v>
      </x:c>
      <x:c r="C8" s="2" t="inlineStr">
        <x:is>
          <x:t xml:space="preserve">$m</x:t>
        </x:is>
      </x:c>
      <x:c r="D8" s="45" t="inlineStr">
        <x:is>
          <x:t xml:space="preserve">Market cap + debt + preferred notional - cash (Reserve + USD Cash)</x:t>
        </x:is>
      </x:c>
    </x:row>
    <x:row r="9">
      <x:c r="A9" s="42" t="inlineStr">
        <x:is>
          <x:t xml:space="preserve">Bitcoin NAV</x:t>
        </x:is>
      </x:c>
      <x:c r="B9" s="95" t="n">
        <x:f>BTC_Held*BTC_Spot/1000000</x:f>
        <x:v>69667.62075</x:v>
      </x:c>
      <x:c r="C9" s="2" t="inlineStr">
        <x:is>
          <x:t xml:space="preserve">$m</x:t>
        </x:is>
      </x:c>
      <x:c r="D9" s="45" t="inlineStr">
        <x:is>
          <x:t xml:space="preserve">BTC held x Base BTC price</x:t>
        </x:is>
      </x:c>
    </x:row>
    <x:row r="10">
      <x:c r="A10" s="3" t="str">
        <x:v>Net mNAV (estimated reconstruction)</x:v>
      </x:c>
      <x:c r="B10" s="96" t="n">
        <x:f>'Net NAV'!B20</x:f>
        <x:v>1.1745671782680673</x:v>
      </x:c>
      <x:c r="C10" s="2" t="inlineStr">
        <x:is>
          <x:t xml:space="preserve">x</x:t>
        </x:is>
      </x:c>
      <x:c r="D10" s="45" t="str">
        <x:v>Price / net BTC value per fully diluted share. See Net NAV for claims and dilution.</x:v>
      </x:c>
    </x:row>
    <x:row r="11">
      <x:c r="A11" s="40" t="inlineStr">
        <x:is>
          <x:t xml:space="preserve">Live scenario</x:t>
        </x:is>
      </x:c>
      <x:c r="B11" s="41" t="n"/>
      <x:c r="C11" s="41" t="n"/>
      <x:c r="D11" s="41" t="n"/>
    </x:row>
    <x:row r="12">
      <x:c r="A12" s="42" t="inlineStr">
        <x:is>
          <x:t xml:space="preserve">Bitcoin NAV</x:t>
        </x:is>
      </x:c>
      <x:c r="B12" s="95" t="n">
        <x:f>BTC_Held*L_BTC/1000000</x:f>
        <x:v>69667.62075</x:v>
      </x:c>
      <x:c r="C12" s="2" t="inlineStr">
        <x:is>
          <x:t xml:space="preserve">$m</x:t>
        </x:is>
      </x:c>
      <x:c r="D12" s="45" t="inlineStr">
        <x:is>
          <x:t xml:space="preserve">BTC held x live BTC price</x:t>
        </x:is>
      </x:c>
    </x:row>
    <x:row r="13">
      <x:c r="A13" s="42" t="inlineStr">
        <x:is>
          <x:t xml:space="preserve">Implied enterprise value</x:t>
        </x:is>
      </x:c>
      <x:c r="B13" s="95" t="n">
        <x:f>L_mNAV*(BTC_NAV_Live+'Net NAV'!B19-BTC_NAV_Now)+Debt_Principal+Pref_Notional_Total-Cash_For_EV</x:f>
        <x:v>80196.23622063785</x:v>
      </x:c>
      <x:c r="C13" s="2" t="inlineStr">
        <x:is>
          <x:t xml:space="preserve">$m</x:t>
        </x:is>
      </x:c>
      <x:c r="D13" s="45" t="str">
        <x:v>Reconstructed from net equity value; observed moneyness held fixed in snapshot scenarios.</x:v>
      </x:c>
    </x:row>
    <x:row r="14">
      <x:c r="A14" s="42" t="inlineStr">
        <x:is>
          <x:t xml:space="preserve">Cash netted in enterprise value</x:t>
        </x:is>
      </x:c>
      <x:c r="B14" s="95" t="n">
        <x:f>USD_Reserve+USD_Cash</x:f>
        <x:v>5520.5</x:v>
      </x:c>
      <x:c r="C14" s="2" t="inlineStr">
        <x:is>
          <x:t xml:space="preserve">$m</x:t>
        </x:is>
      </x:c>
      <x:c r="D14" s="45" t="inlineStr">
        <x:is>
          <x:t xml:space="preserve">Reserve + USD Cash</x:t>
        </x:is>
      </x:c>
    </x:row>
    <x:row r="15">
      <x:c r="A15" s="42" t="inlineStr">
        <x:is>
          <x:t xml:space="preserve">Implied MSTR market cap</x:t>
        </x:is>
      </x:c>
      <x:c r="B15" s="95" t="n">
        <x:f>MAX(0,EV_Live-Debt_Principal-Pref_Notional_Total+Cash_For_EV)</x:f>
        <x:v>65214.02012063784</x:v>
      </x:c>
      <x:c r="C15" s="2" t="inlineStr">
        <x:is>
          <x:t xml:space="preserve">$m</x:t>
        </x:is>
      </x:c>
      <x:c r="D15" s="45" t="inlineStr">
        <x:is>
          <x:t xml:space="preserve">EV - debt - preferred notional + cash, floored at zero. Leverage means equity falls faster than bitcoin</x:t>
        </x:is>
      </x:c>
    </x:row>
    <x:row r="16">
      <x:c r="A16" s="42" t="inlineStr">
        <x:is>
          <x:t xml:space="preserve">Implied MSTR share price</x:t>
        </x:is>
      </x:c>
      <x:c r="B16" s="97" t="n">
        <x:f>MktCap_Live/'Net NAV'!B16</x:f>
        <x:v>151.29</x:v>
      </x:c>
      <x:c r="C16" s="2" t="inlineStr">
        <x:is>
          <x:t xml:space="preserve">$/sh</x:t>
        </x:is>
      </x:c>
      <x:c r="D16" s="45" t="str">
        <x:v>Market cap / fully diluted shares. Matches observed price in Base.</x:v>
      </x:c>
    </x:row>
    <x:row r="17">
      <x:c r="A17" s="40" t="inlineStr">
        <x:is>
          <x:t xml:space="preserve">Source 1: USD Reserve</x:t>
        </x:is>
      </x:c>
      <x:c r="B17" s="41" t="n"/>
      <x:c r="C17" s="41" t="n"/>
      <x:c r="D17" s="41" t="n"/>
    </x:row>
    <x:row r="18">
      <x:c r="A18" s="42" t="inlineStr">
        <x:is>
          <x:t xml:space="preserve">BTC sales added to the Reserve</x:t>
        </x:is>
      </x:c>
      <x:c r="B18" s="95" t="n">
        <x:f>IF(Include_BTC_Monetization="Yes",MIN(BTC_Monetization_Cap,BTC_NAV_Live),0)</x:f>
        <x:v>0</x:v>
      </x:c>
      <x:c r="C18" s="2" t="inlineStr">
        <x:is>
          <x:t xml:space="preserve">$m</x:t>
        </x:is>
      </x:c>
      <x:c r="D18" s="45" t="inlineStr">
        <x:is>
          <x:t xml:space="preserve">BTC Monetization Program, only if the Inputs toggle says Yes</x:t>
        </x:is>
      </x:c>
    </x:row>
    <x:row r="19">
      <x:c r="A19" s="3" t="inlineStr">
        <x:is>
          <x:t xml:space="preserve">Cash available for fixed charges</x:t>
        </x:is>
      </x:c>
      <x:c r="B19" s="98" t="n">
        <x:f>USD_Reserve+IF(Include_USD_Cash="Yes",USD_Cash,0)+BTC_Topup</x:f>
        <x:v>4880</x:v>
      </x:c>
      <x:c r="C19" s="2" t="inlineStr">
        <x:is>
          <x:t xml:space="preserve">$m</x:t>
        </x:is>
      </x:c>
      <x:c r="D19" s="45" t="inlineStr">
        <x:is>
          <x:t xml:space="preserve">Reserve + USD Cash (toggle) + BTC top-up (toggle)</x:t>
        </x:is>
      </x:c>
    </x:row>
    <x:row r="20">
      <x:c r="A20" s="42" t="inlineStr">
        <x:is>
          <x:t xml:space="preserve">Headroom above the 12-month policy minimum</x:t>
        </x:is>
      </x:c>
      <x:c r="B20" s="95" t="n">
        <x:f>Reserve_Live-Charges_Total*Reserve_Min_Months/12</x:f>
        <x:v>3320.3269980000005</x:v>
      </x:c>
      <x:c r="C20" s="2" t="inlineStr">
        <x:is>
          <x:t xml:space="preserve">$m</x:t>
        </x:is>
      </x:c>
      <x:c r="D20" s="45" t="inlineStr">
        <x:is>
          <x:t xml:space="preserve">Cash the Reserve can spend before it breaches policy</x:t>
        </x:is>
      </x:c>
    </x:row>
    <x:row r="21">
      <x:c r="A21" s="40" t="inlineStr">
        <x:is>
          <x:t xml:space="preserve">Source 2: common stock Strategy can sell</x:t>
        </x:is>
      </x:c>
      <x:c r="B21" s="41" t="n"/>
      <x:c r="C21" s="41" t="n"/>
      <x:c r="D21" s="41" t="n"/>
    </x:row>
    <x:row r="22">
      <x:c r="A22" s="42" t="inlineStr">
        <x:is>
          <x:t xml:space="preserve">MSTR dollar volume per day</x:t>
        </x:is>
      </x:c>
      <x:c r="B22" s="95" t="n">
        <x:f>L_ADV*MSTR_Price_Live</x:f>
        <x:v>3328.3799999999997</x:v>
      </x:c>
      <x:c r="C22" s="2" t="inlineStr">
        <x:is>
          <x:t xml:space="preserve">$m/day</x:t>
        </x:is>
      </x:c>
      <x:c r="D22" s="45" t="inlineStr">
        <x:is>
          <x:t xml:space="preserve">Live ADV (m shares) x implied price</x:t>
        </x:is>
      </x:c>
    </x:row>
    <x:row r="23">
      <x:c r="A23" s="42" t="inlineStr">
        <x:is>
          <x:t xml:space="preserve">Volume-limited sales per year</x:t>
        </x:is>
      </x:c>
      <x:c r="B23" s="95" t="n">
        <x:f>Dollar_ADV_Live*L_Part*Trading_Days</x:f>
        <x:v>16775.0352</x:v>
      </x:c>
      <x:c r="C23" s="2" t="inlineStr">
        <x:is>
          <x:t xml:space="preserve">$m/yr</x:t>
        </x:is>
      </x:c>
      <x:c r="D23" s="45" t="inlineStr">
        <x:is>
          <x:t xml:space="preserve">Dollar ADV x participation x trading days</x:t>
        </x:is>
      </x:c>
    </x:row>
    <x:row r="24">
      <x:c r="A24" s="42" t="inlineStr">
        <x:is>
          <x:t xml:space="preserve">Below the mNAV floor?</x:t>
        </x:is>
      </x:c>
      <x:c r="B24" s="99" t="b">
        <x:f>AND(Gate_On="Yes",L_mNAV&lt;mNAV_Floor)</x:f>
        <x:v>0</x:v>
      </x:c>
      <x:c r="C24" s="2" t="inlineStr">
        <x:is>
          <x:t xml:space="preserve"/>
        </x:is>
      </x:c>
      <x:c r="D24" s="45" t="inlineStr">
        <x:is>
          <x:t xml:space="preserve">TRUE stops all common sales: issuing below NAV cuts bitcoin per share</x:t>
        </x:is>
      </x:c>
    </x:row>
    <x:row r="25">
      <x:c r="A25" s="3" t="inlineStr">
        <x:is>
          <x:t xml:space="preserve">Common stock sales per year</x:t>
        </x:is>
      </x:c>
      <x:c r="B25" s="98" t="n">
        <x:f>IF(Gate_Closed,0,Volume_Cap_Year)</x:f>
        <x:v>16775.0352</x:v>
      </x:c>
      <x:c r="C25" s="2" t="inlineStr">
        <x:is>
          <x:t xml:space="preserve">$m/yr</x:t>
        </x:is>
      </x:c>
      <x:c r="D25" s="45" t="inlineStr">
        <x:is>
          <x:t xml:space="preserve">Zero when the gate is closed</x:t>
        </x:is>
      </x:c>
    </x:row>
    <x:row r="26">
      <x:c r="A26" s="42" t="inlineStr">
        <x:is>
          <x:t xml:space="preserve">Registered capacity limiting total sales</x:t>
        </x:is>
      </x:c>
      <x:c r="B26" s="95" t="n">
        <x:f>IF(ATM_Binding="Yes",ATM_MSTR_Remaining,1000000000)</x:f>
        <x:v>18807.6</x:v>
      </x:c>
      <x:c r="C26" s="2" t="inlineStr">
        <x:is>
          <x:t xml:space="preserve">$m</x:t>
        </x:is>
      </x:c>
      <x:c r="D26" s="45" t="inlineStr">
        <x:is>
          <x:t xml:space="preserve">Remaining MSTR ATM, or effectively unlimited if the toggle assumes new programs</x:t>
        </x:is>
      </x:c>
    </x:row>
    <x:row r="27">
      <x:c r="A27" s="42" t="inlineStr">
        <x:is>
          <x:t xml:space="preserve">Shares to issue for one year of charges, % of shares</x:t>
        </x:is>
      </x:c>
      <x:c r="B27" s="100" t="n">
        <x:f>IF(Gate_Closed,"no sales (gate)",IF(MktCap_Live=0,"wiped out",Charges_Total/MktCap_Live))</x:f>
        <x:v>0.02391622229567811</x:v>
      </x:c>
      <x:c r="C27" s="2" t="inlineStr">
        <x:is>
          <x:t xml:space="preserve"/>
        </x:is>
      </x:c>
      <x:c r="D27" s="45" t="inlineStr">
        <x:is>
          <x:t xml:space="preserve">Charges / implied market cap. Text when no common can be sold</x:t>
        </x:is>
      </x:c>
    </x:row>
    <x:row r="28">
      <x:c r="A28" s="40" t="inlineStr">
        <x:is>
          <x:t xml:space="preserve">Source 3: bitcoin</x:t>
        </x:is>
      </x:c>
      <x:c r="B28" s="41" t="n"/>
      <x:c r="C28" s="41" t="n"/>
      <x:c r="D28" s="41" t="n"/>
    </x:row>
    <x:row r="29">
      <x:c r="A29" s="42" t="inlineStr">
        <x:is>
          <x:t xml:space="preserve">BTC to sell for one year of charges</x:t>
        </x:is>
      </x:c>
      <x:c r="B29" s="101" t="n">
        <x:f>Charges_Total*1000000/L_BTC</x:f>
        <x:v>18990.064677162092</x:v>
      </x:c>
      <x:c r="C29" s="2" t="inlineStr">
        <x:is>
          <x:t xml:space="preserve">BTC</x:t>
        </x:is>
      </x:c>
      <x:c r="D29" s="45" t="inlineStr">
        <x:is>
          <x:t xml:space="preserve">Charges / live BTC price</x:t>
        </x:is>
      </x:c>
    </x:row>
    <x:row r="30">
      <x:c r="A30" s="3" t="inlineStr">
        <x:is>
          <x:t xml:space="preserve">...as a share of holdings</x:t>
        </x:is>
      </x:c>
      <x:c r="B30" s="102" t="n">
        <x:f>BTC_Per_Year/BTC_Held</x:f>
        <x:v>0.0223873441522689</x:v>
      </x:c>
      <x:c r="C30" s="2" t="inlineStr">
        <x:is>
          <x:t xml:space="preserve"/>
        </x:is>
      </x:c>
      <x:c r="D30" s="45" t="inlineStr">
        <x:is>
          <x:t xml:space="preserve"/>
        </x:is>
      </x:c>
    </x:row>
    <x:row r="31">
      <x:c r="A31" s="42" t="inlineStr">
        <x:is>
          <x:t xml:space="preserve">Years of charges the bitcoin could fund</x:t>
        </x:is>
      </x:c>
      <x:c r="B31" s="103" t="n">
        <x:f>BTC_NAV_Live/Charges_Total</x:f>
        <x:v>44.668094312502575</x:v>
      </x:c>
      <x:c r="C31" s="2" t="inlineStr">
        <x:is>
          <x:t xml:space="preserve">yrs</x:t>
        </x:is>
      </x:c>
      <x:c r="D31" s="45" t="inlineStr">
        <x:is>
          <x:t xml:space="preserve">Ignores taxes and the price impact of selling</x:t>
        </x:is>
      </x:c>
    </x:row>
  </x:sheetData>
  <x:pageMargins left="0.7" right="0.7" top="0.75" bottom="0.75" header="0.3" footer="0.3"/>
</x:worksheet>
</file>

<file path=xl/worksheets/sheet8.xml><?xml version="1.0" encoding="utf-8"?>
<x:worksheet xmlns:x="http://schemas.openxmlformats.org/spreadsheetml/2006/main">
  <x:sheetPr>
    <x:tabColor rgb="FF404040"/>
  </x:sheetPr>
  <x:sheetViews>
    <x:sheetView showGridLines="0" workbookViewId="0">
      <x:pane xSplit="1" ySplit="4" topLeftCell="B5" activePane="bottomRight" state="frozen"/>
    </x:sheetView>
  </x:sheetViews>
  <x:sheetFormatPr baseColWidth="8" defaultRowHeight="15"/>
  <x:cols>
    <x:col min="1" max="1" width="26" customWidth="1"/>
    <x:col min="2" max="2" width="14" customWidth="1"/>
    <x:col min="3" max="3" width="14" customWidth="1"/>
    <x:col min="4" max="4" width="14" customWidth="1"/>
    <x:col min="5" max="5" width="16" customWidth="1"/>
    <x:col min="6" max="6" width="15" customWidth="1"/>
    <x:col min="7" max="7" width="13" customWidth="1"/>
    <x:col min="8" max="8" width="14" customWidth="1"/>
  </x:cols>
  <x:sheetData>
    <x:row r="1">
      <x:c r="A1" s="1" t="inlineStr">
        <x:is>
          <x:t xml:space="preserve">Coverage</x:t>
        </x:is>
      </x:c>
    </x:row>
    <x:row r="2">
      <x:c r="A2" s="2" t="inlineStr">
        <x:is>
          <x:t xml:space="preserve">How long each source lasts, cumulatively down the seniority stack. A claim is covered only after everything above it is paid.</x:t>
        </x:is>
      </x:c>
    </x:row>
    <x:row r="4" ht="44" customHeight="1">
      <x:c r="A4" s="8" t="inlineStr">
        <x:is>
          <x:t xml:space="preserve">Down to and including</x:t>
        </x:is>
      </x:c>
      <x:c r="B4" s="9" t="inlineStr">
        <x:is>
          <x:t xml:space="preserve">Cumulative charges ($m)</x:t>
        </x:is>
      </x:c>
      <x:c r="C4" s="9" t="inlineStr">
        <x:is>
          <x:t xml:space="preserve">Reserve alone (months)</x:t>
        </x:is>
      </x:c>
      <x:c r="D4" s="9" t="inlineStr">
        <x:is>
          <x:t xml:space="preserve">Reserve alone (years)</x:t>
        </x:is>
      </x:c>
      <x:c r="E4" s="9" t="inlineStr">
        <x:is>
          <x:t xml:space="preserve">Reserve + common (years)</x:t>
        </x:is>
      </x:c>
      <x:c r="F4" s="9" t="inlineStr">
        <x:is>
          <x:t xml:space="preserve">Cumulative claims ($m)</x:t>
        </x:is>
      </x:c>
      <x:c r="G4" s="9" t="inlineStr">
        <x:is>
          <x:t xml:space="preserve">BTC cover (x)</x:t>
        </x:is>
      </x:c>
      <x:c r="H4" s="9" t="inlineStr">
        <x:is>
          <x:t xml:space="preserve">Charges / BTC NAV</x:t>
        </x:is>
      </x:c>
    </x:row>
    <x:row r="5">
      <x:c r="A5" s="104" t="str">
        <x:f>Obligations!A5</x:f>
        <x:v>Debt interest</x:v>
      </x:c>
      <x:c r="B5" s="83" t="n">
        <x:f>Obligations!D5</x:f>
        <x:v>36.6</x:v>
      </x:c>
      <x:c r="C5" s="105" t="n">
        <x:f>IF(B5=0,Display_Cap*12,MIN(Display_Cap*12,Reserve_Live/B5*12))</x:f>
        <x:v>600</x:v>
      </x:c>
      <x:c r="D5" s="106" t="n">
        <x:f>IF(B5=0,Display_Cap,MIN(Display_Cap,Reserve_Live/B5))</x:f>
        <x:v>50</x:v>
      </x:c>
      <x:c r="E5" s="107" t="n">
        <x:f>MIN(Display_Cap,IF(AND(Common_Per_Year&lt;B5,Common_Per_Year*Reserve_Live/(B5-Common_Per_Year)&lt;=ATM_Cap),Reserve_Live/(B5-Common_Per_Year),(Reserve_Live+ATM_Cap)/B5))</x:f>
        <x:v>50</x:v>
      </x:c>
      <x:c r="F5" s="83" t="n">
        <x:f>Obligations!G5</x:f>
        <x:v>6750</x:v>
      </x:c>
      <x:c r="G5" s="108" t="n">
        <x:f>BTC_NAV_Live/F5</x:f>
        <x:v>10.321129</x:v>
      </x:c>
      <x:c r="H5" s="109" t="n">
        <x:f>B5/BTC_NAV_Live</x:f>
        <x:v>0.0005253516569962668</x:v>
      </x:c>
    </x:row>
    <x:row r="6">
      <x:c r="A6" s="104" t="str">
        <x:f>Obligations!A6</x:f>
        <x:v>STRF</x:v>
      </x:c>
      <x:c r="B6" s="83" t="n">
        <x:f>Obligations!D6</x:f>
        <x:v>164.9969</x:v>
      </x:c>
      <x:c r="C6" s="105" t="n">
        <x:f>IF(B6=0,Display_Cap*12,MIN(Display_Cap*12,Reserve_Live/B6*12))</x:f>
        <x:v>354.9157590233513</x:v>
      </x:c>
      <x:c r="D6" s="106" t="n">
        <x:f>IF(B6=0,Display_Cap,MIN(Display_Cap,Reserve_Live/B6))</x:f>
        <x:v>29.576313251945944</x:v>
      </x:c>
      <x:c r="E6" s="107" t="n">
        <x:f>MIN(Display_Cap,IF(AND(Common_Per_Year&lt;B6,Common_Per_Year*Reserve_Live/(B6-Common_Per_Year)&lt;=ATM_Cap),Reserve_Live/(B6-Common_Per_Year),(Reserve_Live+ATM_Cap)/B6))</x:f>
        <x:v>50</x:v>
      </x:c>
      <x:c r="F6" s="83" t="n">
        <x:f>Obligations!G6</x:f>
        <x:v>8033.969</x:v>
      </x:c>
      <x:c r="G6" s="108" t="n">
        <x:f>BTC_NAV_Live/F6</x:f>
        <x:v>8.671631761337391</x:v>
      </x:c>
      <x:c r="H6" s="109" t="n">
        <x:f>B6/BTC_NAV_Live</x:f>
        <x:v>0.0023683441206078506</x:v>
      </x:c>
    </x:row>
    <x:row r="7">
      <x:c r="A7" s="104" t="str">
        <x:f>Obligations!A7</x:f>
        <x:v>STRC</x:v>
      </x:c>
      <x:c r="B7" s="83" t="n">
        <x:f>Obligations!D7</x:f>
        <x:v>1220.054132</x:v>
      </x:c>
      <x:c r="C7" s="105" t="n">
        <x:f>IF(B7=0,Display_Cap*12,MIN(Display_Cap*12,Reserve_Live/B7*12))</x:f>
        <x:v>47.9978703108888</x:v>
      </x:c>
      <x:c r="D7" s="106" t="n">
        <x:f>IF(B7=0,Display_Cap,MIN(Display_Cap,Reserve_Live/B7))</x:f>
        <x:v>3.9998225259074</x:v>
      </x:c>
      <x:c r="E7" s="107" t="n">
        <x:f>MIN(Display_Cap,IF(AND(Common_Per_Year&lt;B7,Common_Per_Year*Reserve_Live/(B7-Common_Per_Year)&lt;=ATM_Cap),Reserve_Live/(B7-Common_Per_Year),(Reserve_Live+ATM_Cap)/B7))</x:f>
        <x:v>19.415204111615598</x:v>
      </x:c>
      <x:c r="F7" s="83" t="n">
        <x:f>Obligations!G7</x:f>
        <x:v>16826.1126</x:v>
      </x:c>
      <x:c r="G7" s="108" t="n">
        <x:f>BTC_NAV_Live/F7</x:f>
        <x:v>4.140446602621689</x:v>
      </x:c>
      <x:c r="H7" s="109" t="n">
        <x:f>B7/BTC_NAV_Live</x:f>
        <x:v>0.01751249890358858</x:v>
      </x:c>
    </x:row>
    <x:row r="8">
      <x:c r="A8" s="104" t="str">
        <x:f>Obligations!A8</x:f>
        <x:v>STRE</x:v>
      </x:c>
      <x:c r="B8" s="83" t="n">
        <x:f>Obligations!D8</x:f>
        <x:v>1307.264882</x:v>
      </x:c>
      <x:c r="C8" s="105" t="n">
        <x:f>IF(B8=0,Display_Cap*12,MIN(Display_Cap*12,Reserve_Live/B8*12))</x:f>
        <x:v>44.795818205112624</x:v>
      </x:c>
      <x:c r="D8" s="106" t="n">
        <x:f>IF(B8=0,Display_Cap,MIN(Display_Cap,Reserve_Live/B8))</x:f>
        <x:v>3.732984850426052</x:v>
      </x:c>
      <x:c r="E8" s="107" t="n">
        <x:f>MIN(Display_Cap,IF(AND(Common_Per_Year&lt;B8,Common_Per_Year*Reserve_Live/(B8-Common_Per_Year)&lt;=ATM_Cap),Reserve_Live/(B8-Common_Per_Year),(Reserve_Live+ATM_Cap)/B8))</x:f>
        <x:v>18.11996966044101</x:v>
      </x:c>
      <x:c r="F8" s="83" t="n">
        <x:f>Obligations!G8</x:f>
        <x:v>17698.2201</x:v>
      </x:c>
      <x:c r="G8" s="108" t="n">
        <x:f>BTC_NAV_Live/F8</x:f>
        <x:v>3.9364196148741537</x:v>
      </x:c>
      <x:c r="H8" s="109" t="n">
        <x:f>B8/BTC_NAV_Live</x:f>
        <x:v>0.018764310707424292</x:v>
      </x:c>
    </x:row>
    <x:row r="9">
      <x:c r="A9" s="104" t="str">
        <x:f>Obligations!A9</x:f>
        <x:v>STRK</x:v>
      </x:c>
      <x:c r="B9" s="83" t="n">
        <x:f>Obligations!D9</x:f>
        <x:v>1419.4308019999999</x:v>
      </x:c>
      <x:c r="C9" s="105" t="n">
        <x:f>IF(B9=0,Display_Cap*12,MIN(Display_Cap*12,Reserve_Live/B9*12))</x:f>
        <x:v>41.25597381534067</x:v>
      </x:c>
      <x:c r="D9" s="106" t="n">
        <x:f>IF(B9=0,Display_Cap,MIN(Display_Cap,Reserve_Live/B9))</x:f>
        <x:v>3.437997817945056</x:v>
      </x:c>
      <x:c r="E9" s="107" t="n">
        <x:f>MIN(Display_Cap,IF(AND(Common_Per_Year&lt;B9,Common_Per_Year*Reserve_Live/(B9-Common_Per_Year)&lt;=ATM_Cap),Reserve_Live/(B9-Common_Per_Year),(Reserve_Live+ATM_Cap)/B9))</x:f>
        <x:v>16.688097768925267</x:v>
      </x:c>
      <x:c r="F9" s="83" t="n">
        <x:f>Obligations!G9</x:f>
        <x:v>19100.2941</x:v>
      </x:c>
      <x:c r="G9" s="108" t="n">
        <x:f>BTC_NAV_Live/F9</x:f>
        <x:v>3.6474632476994167</x:v>
      </x:c>
      <x:c r="H9" s="109" t="n">
        <x:f>B9/BTC_NAV_Live</x:f>
        <x:v>0.020374325787492892</x:v>
      </x:c>
    </x:row>
    <x:row r="10">
      <x:c r="A10" s="104" t="str">
        <x:f>Obligations!A10</x:f>
        <x:v>STRD</x:v>
      </x:c>
      <x:c r="B10" s="83" t="n">
        <x:f>Obligations!D10</x:f>
        <x:v>1559.6730019999998</x:v>
      </x:c>
      <x:c r="C10" s="105" t="n">
        <x:f>IF(B10=0,Display_Cap*12,MIN(Display_Cap*12,Reserve_Live/B10*12))</x:f>
        <x:v>37.54633177910199</x:v>
      </x:c>
      <x:c r="D10" s="106" t="n">
        <x:f>IF(B10=0,Display_Cap,MIN(Display_Cap,Reserve_Live/B10))</x:f>
        <x:v>3.1288609815918327</x:v>
      </x:c>
      <x:c r="E10" s="107" t="n">
        <x:f>MIN(Display_Cap,IF(AND(Common_Per_Year&lt;B10,Common_Per_Year*Reserve_Live/(B10-Common_Per_Year)&lt;=ATM_Cap),Reserve_Live/(B10-Common_Per_Year),(Reserve_Live+ATM_Cap)/B10))</x:f>
        <x:v>15.187542497449734</x:v>
      </x:c>
      <x:c r="F10" s="83" t="n">
        <x:f>Obligations!G10</x:f>
        <x:v>20502.716099999998</x:v>
      </x:c>
      <x:c r="G10" s="108" t="n">
        <x:f>BTC_NAV_Live/F10</x:f>
        <x:v>3.397970318186282</x:v>
      </x:c>
      <x:c r="H10" s="109" t="n">
        <x:f>B10/BTC_NAV_Live</x:f>
        <x:v>0.022387344152268895</x:v>
      </x:c>
    </x:row>
    <x:row r="13">
      <x:c r="A13" s="40" t="inlineStr">
        <x:is>
          <x:t xml:space="preserve">Breakevens (closed form; verify any with Data &gt; What-If Analysis &gt; Goal Seek)</x:t>
        </x:is>
      </x:c>
      <x:c r="B13" s="41" t="n"/>
      <x:c r="C13" s="41" t="n"/>
      <x:c r="D13" s="41" t="n"/>
      <x:c r="E13" s="41" t="n"/>
      <x:c r="F13" s="41" t="n"/>
      <x:c r="G13" s="41" t="n"/>
      <x:c r="H13" s="41" t="n"/>
    </x:row>
    <x:row r="14">
      <x:c r="A14" s="42" t="inlineStr">
        <x:is>
          <x:t xml:space="preserve">BTC price where bitcoin = debt + all preferred notional</x:t>
        </x:is>
      </x:c>
      <x:c r="E14" s="110" t="n">
        <x:f>Claims_Total*1000000/BTC_Held</x:f>
        <x:v>24170.60548187444</x:v>
      </x:c>
      <x:c r="F14" s="26" t="inlineStr">
        <x:is>
          <x:t xml:space="preserve">Below this, the bitcoin is worth less than every claim ahead of common stock</x:t>
        </x:is>
      </x:c>
    </x:row>
    <x:row r="15">
      <x:c r="A15" s="42" t="inlineStr">
        <x:is>
          <x:t xml:space="preserve">BTC price for 2.0x cover</x:t>
        </x:is>
      </x:c>
      <x:c r="E15" s="110" t="n">
        <x:f>2*BE_BTC_1x</x:f>
        <x:v>48341.21096374888</x:v>
      </x:c>
      <x:c r="F15" s="26" t="inlineStr">
        <x:is>
          <x:t xml:space="preserve"/>
        </x:is>
      </x:c>
    </x:row>
    <x:row r="16">
      <x:c r="A16" s="42" t="inlineStr">
        <x:is>
          <x:t xml:space="preserve">Fall from the live BTC price to reach 1.0x</x:t>
        </x:is>
      </x:c>
      <x:c r="E16" s="111" t="n">
        <x:f>1-BE_BTC_1x/L_BTC</x:f>
        <x:v>0.7057066700530319</x:v>
      </x:c>
      <x:c r="F16" s="26" t="inlineStr">
        <x:is>
          <x:t xml:space="preserve"/>
        </x:is>
      </x:c>
    </x:row>
    <x:row r="17">
      <x:c r="A17" s="42" t="inlineStr">
        <x:is>
          <x:t xml:space="preserve">Common sales per year needed to cover Target_Years</x:t>
        </x:is>
      </x:c>
      <x:c r="E17" s="98" t="n">
        <x:f>MAX(0,Charges_Total-Reserve_Live/Target_Years)</x:f>
        <x:v>583.6730019999998</x:v>
      </x:c>
      <x:c r="F17" s="26" t="inlineStr">
        <x:is>
          <x:t xml:space="preserve">Zero means the Reserve alone covers the target</x:t>
        </x:is>
      </x:c>
    </x:row>
    <x:row r="18">
      <x:c r="A18" s="42" t="inlineStr">
        <x:is>
          <x:t xml:space="preserve">BTC price that still funds Target_Years at the live mNAV</x:t>
        </x:is>
      </x:c>
      <x:c r="E18" s="110" t="n">
        <x:f>IF(Common_Needed=0,"Reserve alone covers it",IF((Reserve_Live+ATM_Cap)/Charges_Total&lt;Target_Years,"Not reachable: ATM capacity",IF(Gate_Closed,"Not reachable: below mNAV floor",(Common_Needed*'Net NAV'!B16/(L_ADV*L_Part*Trading_Days*L_mNAV)-'Net NAV'!B19+BTC_NAV_Now)*1000000/BTC_Held)))</x:f>
        <x:v>18953.972003328803</x:v>
      </x:c>
      <x:c r="F18" s="26" t="inlineStr">
        <x:is>
          <x:t xml:space="preserve">Solves Reserve / (charges - common sales) = Target_Years for BTC, holding mNAV, volume and participation at live values</x:t>
        </x:is>
      </x:c>
    </x:row>
    <x:row r="19">
      <x:c r="A19" s="42" t="inlineStr">
        <x:is>
          <x:t xml:space="preserve">mNAV below which common sales stop</x:t>
        </x:is>
      </x:c>
      <x:c r="E19" s="96" t="n">
        <x:f>mNAV_Floor</x:f>
        <x:v>1</x:v>
      </x:c>
      <x:c r="F19" s="26" t="inlineStr">
        <x:is>
          <x:t xml:space="preserve">The gate. Above it, ATM capacity usually binds before volume does</x:t>
        </x:is>
      </x:c>
    </x:row>
    <x:row r="21">
      <x:c r="A21" s="26" t="inlineStr">
        <x:is>
          <x:t xml:space="preserve">'&gt;=50 yrs' means common sales alone fund the charges up to the display cap. Amber: under Target_Years or under the 12-month Reserve policy. Red: under 1 year or under 1.0x.</x:t>
        </x:is>
      </x:c>
    </x:row>
  </x:sheetData>
  <x:mergeCells>
    <x:mergeCell ref="A17:D17"/>
    <x:mergeCell ref="A18:D18"/>
    <x:mergeCell ref="A15:D15"/>
    <x:mergeCell ref="A16:D16"/>
    <x:mergeCell ref="A19:D19"/>
    <x:mergeCell ref="A14:D14"/>
  </x:mergeCells>
  <x:conditionalFormatting sqref="E5:E10">
    <x:cfRule type="cellIs" dxfId="3" priority="1" operator="lessThan">
      <x:formula>1</x:formula>
    </x:cfRule>
    <x:cfRule type="cellIs" dxfId="2" priority="2" operator="lessThan">
      <x:formula>Target_Years</x:formula>
    </x:cfRule>
  </x:conditionalFormatting>
  <x:conditionalFormatting sqref="C5:C10">
    <x:cfRule type="cellIs" dxfId="2" priority="3" operator="lessThan">
      <x:formula>Reserve_Min_Months</x:formula>
    </x:cfRule>
  </x:conditionalFormatting>
  <x:conditionalFormatting sqref="G5:G10">
    <x:cfRule type="cellIs" dxfId="3" priority="4" operator="lessThan">
      <x:formula>1</x:formula>
    </x:cfRule>
  </x:conditionalFormatting>
  <x:pageMargins left="0.7" right="0.7" top="0.75" bottom="0.75" header="0.3" footer="0.3"/>
</x:worksheet>
</file>

<file path=xl/worksheets/sheet9.xml><?xml version="1.0" encoding="utf-8"?>
<x:worksheet xmlns:x="http://schemas.openxmlformats.org/spreadsheetml/2006/main">
  <x:sheetPr>
    <x:tabColor rgb="FF404040"/>
  </x:sheetPr>
  <x:sheetViews>
    <x:sheetView showGridLines="0" workbookViewId="0">
      <x:pane xSplit="1" ySplit="3" topLeftCell="B4" activePane="bottomRight" state="frozen"/>
    </x:sheetView>
  </x:sheetViews>
  <x:sheetFormatPr baseColWidth="8" defaultRowHeight="15"/>
  <x:cols>
    <x:col min="1" max="1" width="22" customWidth="1"/>
    <x:col min="2" max="2" width="12" customWidth="1"/>
    <x:col min="3" max="3" width="12" customWidth="1"/>
    <x:col min="4" max="4" width="12" customWidth="1"/>
    <x:col min="5" max="5" width="12" customWidth="1"/>
    <x:col min="6" max="6" width="12" customWidth="1"/>
    <x:col min="7" max="7" width="12" customWidth="1"/>
    <x:col min="8" max="8" width="12" customWidth="1"/>
  </x:cols>
  <x:sheetData>
    <x:row r="1">
      <x:c r="A1" s="1" t="inlineStr">
        <x:is>
          <x:t xml:space="preserve">Stress</x:t>
        </x:is>
      </x:c>
    </x:row>
    <x:row r="2">
      <x:c r="A2" s="2" t="str">
        <x:v>Portable snapshot grids using net mNAV and observed moneyness. Principal excluded. Native What-If tables are on Native sensitivity.</x:v>
      </x:c>
    </x:row>
    <x:row r="4">
      <x:c r="A4" s="40" t="inlineStr">
        <x:is>
          <x:t xml:space="preserve">Grid 1. Common stock Strategy can sell per year ($m)</x:t>
        </x:is>
      </x:c>
      <x:c r="B4" s="41" t="n"/>
      <x:c r="C4" s="41" t="n"/>
      <x:c r="D4" s="41" t="n"/>
      <x:c r="E4" s="41" t="n"/>
      <x:c r="F4" s="41" t="n"/>
      <x:c r="G4" s="41" t="n"/>
      <x:c r="H4" s="41" t="n"/>
    </x:row>
    <x:row r="5">
      <x:c r="A5" s="2" t="inlineStr">
        <x:is>
          <x:t xml:space="preserve">BTC price ↓   mNAV →</x:t>
        </x:is>
      </x:c>
      <x:c r="B5" s="112" t="n">
        <x:v>0.6</x:v>
      </x:c>
      <x:c r="C5" s="112" t="n">
        <x:v>0.8</x:v>
      </x:c>
      <x:c r="D5" s="112" t="n">
        <x:v>1</x:v>
      </x:c>
      <x:c r="E5" s="112" t="n">
        <x:v>1.25</x:v>
      </x:c>
      <x:c r="F5" s="112" t="n">
        <x:v>1.5</x:v>
      </x:c>
      <x:c r="G5" s="112" t="n">
        <x:v>2</x:v>
      </x:c>
      <x:c r="H5" s="112" t="n">
        <x:v>2.5</x:v>
      </x:c>
    </x:row>
    <x:row r="6">
      <x:c r="A6" s="46" t="n">
        <x:v>30000</x:v>
      </x:c>
      <x:c r="B6" s="113" t="n">
        <x:f>IF(AND(Gate_On="Yes",B$5&lt;mNAV_Floor),0,L_ADV*MAX(0,B$5*(BTC_Held*$A6/1000000+'Net NAV'!B19-BTC_NAV_Now))/'Net NAV'!B16*L_Part*Trading_Days)</x:f>
        <x:v>0</x:v>
      </x:c>
      <x:c r="C6" s="113" t="n">
        <x:f>IF(AND(Gate_On="Yes",C$5&lt;mNAV_Floor),0,L_ADV*MAX(0,C$5*(BTC_Held*$A6/1000000+'Net NAV'!B19-BTC_NAV_Now))/'Net NAV'!B16*L_Part*Trading_Days)</x:f>
        <x:v>0</x:v>
      </x:c>
      <x:c r="D6" s="113" t="n">
        <x:f>IF(AND(Gate_On="Yes",D$5&lt;mNAV_Floor),0,L_ADV*MAX(0,D$5*(BTC_Held*$A6/1000000+'Net NAV'!B19-BTC_NAV_Now))/'Net NAV'!B16*L_Part*Trading_Days)</x:f>
        <x:v>2907.122658041743</x:v>
      </x:c>
      <x:c r="E6" s="113" t="n">
        <x:f>IF(AND(Gate_On="Yes",E$5&lt;mNAV_Floor),0,L_ADV*MAX(0,E$5*(BTC_Held*$A6/1000000+'Net NAV'!B19-BTC_NAV_Now))/'Net NAV'!B16*L_Part*Trading_Days)</x:f>
        <x:v>3633.9033225521794</x:v>
      </x:c>
      <x:c r="F6" s="113" t="n">
        <x:f>IF(AND(Gate_On="Yes",F$5&lt;mNAV_Floor),0,L_ADV*MAX(0,F$5*(BTC_Held*$A6/1000000+'Net NAV'!B19-BTC_NAV_Now))/'Net NAV'!B16*L_Part*Trading_Days)</x:f>
        <x:v>4360.6839870626145</x:v>
      </x:c>
      <x:c r="G6" s="113" t="n">
        <x:f>IF(AND(Gate_On="Yes",G$5&lt;mNAV_Floor),0,L_ADV*MAX(0,G$5*(BTC_Held*$A6/1000000+'Net NAV'!B19-BTC_NAV_Now))/'Net NAV'!B16*L_Part*Trading_Days)</x:f>
        <x:v>5814.245316083486</x:v>
      </x:c>
      <x:c r="H6" s="113" t="n">
        <x:f>IF(AND(Gate_On="Yes",H$5&lt;mNAV_Floor),0,L_ADV*MAX(0,H$5*(BTC_Held*$A6/1000000+'Net NAV'!B19-BTC_NAV_Now))/'Net NAV'!B16*L_Part*Trading_Days)</x:f>
        <x:v>7267.806645104359</x:v>
      </x:c>
    </x:row>
    <x:row r="7">
      <x:c r="A7" s="46" t="n">
        <x:v>40000</x:v>
      </x:c>
      <x:c r="B7" s="113" t="n">
        <x:f>IF(AND(Gate_On="Yes",B$5&lt;mNAV_Floor),0,L_ADV*MAX(0,B$5*(BTC_Held*$A7/1000000+'Net NAV'!B19-BTC_NAV_Now))/'Net NAV'!B16*L_Part*Trading_Days)</x:f>
        <x:v>0</x:v>
      </x:c>
      <x:c r="C7" s="113" t="n">
        <x:f>IF(AND(Gate_On="Yes",C$5&lt;mNAV_Floor),0,L_ADV*MAX(0,C$5*(BTC_Held*$A7/1000000+'Net NAV'!B19-BTC_NAV_Now))/'Net NAV'!B16*L_Part*Trading_Days)</x:f>
        <x:v>0</x:v>
      </x:c>
      <x:c r="D7" s="113" t="n">
        <x:f>IF(AND(Gate_On="Yes",D$5&lt;mNAV_Floor),0,L_ADV*MAX(0,D$5*(BTC_Held*$A7/1000000+'Net NAV'!B19-BTC_NAV_Now))/'Net NAV'!B16*L_Part*Trading_Days)</x:f>
        <x:v>5089.080399962473</x:v>
      </x:c>
      <x:c r="E7" s="113" t="n">
        <x:f>IF(AND(Gate_On="Yes",E$5&lt;mNAV_Floor),0,L_ADV*MAX(0,E$5*(BTC_Held*$A7/1000000+'Net NAV'!B19-BTC_NAV_Now))/'Net NAV'!B16*L_Part*Trading_Days)</x:f>
        <x:v>6361.350499953092</x:v>
      </x:c>
      <x:c r="F7" s="113" t="n">
        <x:f>IF(AND(Gate_On="Yes",F$5&lt;mNAV_Floor),0,L_ADV*MAX(0,F$5*(BTC_Held*$A7/1000000+'Net NAV'!B19-BTC_NAV_Now))/'Net NAV'!B16*L_Part*Trading_Days)</x:f>
        <x:v>7633.620599943709</x:v>
      </x:c>
      <x:c r="G7" s="113" t="n">
        <x:f>IF(AND(Gate_On="Yes",G$5&lt;mNAV_Floor),0,L_ADV*MAX(0,G$5*(BTC_Held*$A7/1000000+'Net NAV'!B19-BTC_NAV_Now))/'Net NAV'!B16*L_Part*Trading_Days)</x:f>
        <x:v>10178.160799924946</x:v>
      </x:c>
      <x:c r="H7" s="113" t="n">
        <x:f>IF(AND(Gate_On="Yes",H$5&lt;mNAV_Floor),0,L_ADV*MAX(0,H$5*(BTC_Held*$A7/1000000+'Net NAV'!B19-BTC_NAV_Now))/'Net NAV'!B16*L_Part*Trading_Days)</x:f>
        <x:v>12722.700999906185</x:v>
      </x:c>
    </x:row>
    <x:row r="8">
      <x:c r="A8" s="46" t="n">
        <x:v>50000</x:v>
      </x:c>
      <x:c r="B8" s="113" t="n">
        <x:f>IF(AND(Gate_On="Yes",B$5&lt;mNAV_Floor),0,L_ADV*MAX(0,B$5*(BTC_Held*$A8/1000000+'Net NAV'!B19-BTC_NAV_Now))/'Net NAV'!B16*L_Part*Trading_Days)</x:f>
        <x:v>0</x:v>
      </x:c>
      <x:c r="C8" s="113" t="n">
        <x:f>IF(AND(Gate_On="Yes",C$5&lt;mNAV_Floor),0,L_ADV*MAX(0,C$5*(BTC_Held*$A8/1000000+'Net NAV'!B19-BTC_NAV_Now))/'Net NAV'!B16*L_Part*Trading_Days)</x:f>
        <x:v>0</x:v>
      </x:c>
      <x:c r="D8" s="113" t="n">
        <x:f>IF(AND(Gate_On="Yes",D$5&lt;mNAV_Floor),0,L_ADV*MAX(0,D$5*(BTC_Held*$A8/1000000+'Net NAV'!B19-BTC_NAV_Now))/'Net NAV'!B16*L_Part*Trading_Days)</x:f>
        <x:v>7271.038141883204</x:v>
      </x:c>
      <x:c r="E8" s="113" t="n">
        <x:f>IF(AND(Gate_On="Yes",E$5&lt;mNAV_Floor),0,L_ADV*MAX(0,E$5*(BTC_Held*$A8/1000000+'Net NAV'!B19-BTC_NAV_Now))/'Net NAV'!B16*L_Part*Trading_Days)</x:f>
        <x:v>9088.797677354005</x:v>
      </x:c>
      <x:c r="F8" s="113" t="n">
        <x:f>IF(AND(Gate_On="Yes",F$5&lt;mNAV_Floor),0,L_ADV*MAX(0,F$5*(BTC_Held*$A8/1000000+'Net NAV'!B19-BTC_NAV_Now))/'Net NAV'!B16*L_Part*Trading_Days)</x:f>
        <x:v>10906.557212824804</x:v>
      </x:c>
      <x:c r="G8" s="113" t="n">
        <x:f>IF(AND(Gate_On="Yes",G$5&lt;mNAV_Floor),0,L_ADV*MAX(0,G$5*(BTC_Held*$A8/1000000+'Net NAV'!B19-BTC_NAV_Now))/'Net NAV'!B16*L_Part*Trading_Days)</x:f>
        <x:v>14542.076283766408</x:v>
      </x:c>
      <x:c r="H8" s="113" t="n">
        <x:f>IF(AND(Gate_On="Yes",H$5&lt;mNAV_Floor),0,L_ADV*MAX(0,H$5*(BTC_Held*$A8/1000000+'Net NAV'!B19-BTC_NAV_Now))/'Net NAV'!B16*L_Part*Trading_Days)</x:f>
        <x:v>18177.59535470801</x:v>
      </x:c>
    </x:row>
    <x:row r="9">
      <x:c r="A9" s="46" t="n">
        <x:v>60000</x:v>
      </x:c>
      <x:c r="B9" s="113" t="n">
        <x:f>IF(AND(Gate_On="Yes",B$5&lt;mNAV_Floor),0,L_ADV*MAX(0,B$5*(BTC_Held*$A9/1000000+'Net NAV'!B19-BTC_NAV_Now))/'Net NAV'!B16*L_Part*Trading_Days)</x:f>
        <x:v>0</x:v>
      </x:c>
      <x:c r="C9" s="113" t="n">
        <x:f>IF(AND(Gate_On="Yes",C$5&lt;mNAV_Floor),0,L_ADV*MAX(0,C$5*(BTC_Held*$A9/1000000+'Net NAV'!B19-BTC_NAV_Now))/'Net NAV'!B16*L_Part*Trading_Days)</x:f>
        <x:v>0</x:v>
      </x:c>
      <x:c r="D9" s="113" t="n">
        <x:f>IF(AND(Gate_On="Yes",D$5&lt;mNAV_Floor),0,L_ADV*MAX(0,D$5*(BTC_Held*$A9/1000000+'Net NAV'!B19-BTC_NAV_Now))/'Net NAV'!B16*L_Part*Trading_Days)</x:f>
        <x:v>9452.995883803933</x:v>
      </x:c>
      <x:c r="E9" s="113" t="n">
        <x:f>IF(AND(Gate_On="Yes",E$5&lt;mNAV_Floor),0,L_ADV*MAX(0,E$5*(BTC_Held*$A9/1000000+'Net NAV'!B19-BTC_NAV_Now))/'Net NAV'!B16*L_Part*Trading_Days)</x:f>
        <x:v>11816.244854754917</x:v>
      </x:c>
      <x:c r="F9" s="113" t="n">
        <x:f>IF(AND(Gate_On="Yes",F$5&lt;mNAV_Floor),0,L_ADV*MAX(0,F$5*(BTC_Held*$A9/1000000+'Net NAV'!B19-BTC_NAV_Now))/'Net NAV'!B16*L_Part*Trading_Days)</x:f>
        <x:v>14179.4938257059</x:v>
      </x:c>
      <x:c r="G9" s="113" t="n">
        <x:f>IF(AND(Gate_On="Yes",G$5&lt;mNAV_Floor),0,L_ADV*MAX(0,G$5*(BTC_Held*$A9/1000000+'Net NAV'!B19-BTC_NAV_Now))/'Net NAV'!B16*L_Part*Trading_Days)</x:f>
        <x:v>18905.991767607866</x:v>
      </x:c>
      <x:c r="H9" s="113" t="n">
        <x:f>IF(AND(Gate_On="Yes",H$5&lt;mNAV_Floor),0,L_ADV*MAX(0,H$5*(BTC_Held*$A9/1000000+'Net NAV'!B19-BTC_NAV_Now))/'Net NAV'!B16*L_Part*Trading_Days)</x:f>
        <x:v>23632.489709509835</x:v>
      </x:c>
    </x:row>
    <x:row r="10">
      <x:c r="A10" s="46" t="n">
        <x:v>75000</x:v>
      </x:c>
      <x:c r="B10" s="113" t="n">
        <x:f>IF(AND(Gate_On="Yes",B$5&lt;mNAV_Floor),0,L_ADV*MAX(0,B$5*(BTC_Held*$A10/1000000+'Net NAV'!B19-BTC_NAV_Now))/'Net NAV'!B16*L_Part*Trading_Days)</x:f>
        <x:v>0</x:v>
      </x:c>
      <x:c r="C10" s="113" t="n">
        <x:f>IF(AND(Gate_On="Yes",C$5&lt;mNAV_Floor),0,L_ADV*MAX(0,C$5*(BTC_Held*$A10/1000000+'Net NAV'!B19-BTC_NAV_Now))/'Net NAV'!B16*L_Part*Trading_Days)</x:f>
        <x:v>0</x:v>
      </x:c>
      <x:c r="D10" s="113" t="n">
        <x:f>IF(AND(Gate_On="Yes",D$5&lt;mNAV_Floor),0,L_ADV*MAX(0,D$5*(BTC_Held*$A10/1000000+'Net NAV'!B19-BTC_NAV_Now))/'Net NAV'!B16*L_Part*Trading_Days)</x:f>
        <x:v>12725.93249668503</x:v>
      </x:c>
      <x:c r="E10" s="113" t="n">
        <x:f>IF(AND(Gate_On="Yes",E$5&lt;mNAV_Floor),0,L_ADV*MAX(0,E$5*(BTC_Held*$A10/1000000+'Net NAV'!B19-BTC_NAV_Now))/'Net NAV'!B16*L_Part*Trading_Days)</x:f>
        <x:v>15907.415620856285</x:v>
      </x:c>
      <x:c r="F10" s="113" t="n">
        <x:f>IF(AND(Gate_On="Yes",F$5&lt;mNAV_Floor),0,L_ADV*MAX(0,F$5*(BTC_Held*$A10/1000000+'Net NAV'!B19-BTC_NAV_Now))/'Net NAV'!B16*L_Part*Trading_Days)</x:f>
        <x:v>19088.89874502754</x:v>
      </x:c>
      <x:c r="G10" s="113" t="n">
        <x:f>IF(AND(Gate_On="Yes",G$5&lt;mNAV_Floor),0,L_ADV*MAX(0,G$5*(BTC_Held*$A10/1000000+'Net NAV'!B19-BTC_NAV_Now))/'Net NAV'!B16*L_Part*Trading_Days)</x:f>
        <x:v>25451.86499337006</x:v>
      </x:c>
      <x:c r="H10" s="113" t="n">
        <x:f>IF(AND(Gate_On="Yes",H$5&lt;mNAV_Floor),0,L_ADV*MAX(0,H$5*(BTC_Held*$A10/1000000+'Net NAV'!B19-BTC_NAV_Now))/'Net NAV'!B16*L_Part*Trading_Days)</x:f>
        <x:v>31814.83124171257</x:v>
      </x:c>
    </x:row>
    <x:row r="11">
      <x:c r="A11" s="46" t="n">
        <x:v>100000</x:v>
      </x:c>
      <x:c r="B11" s="113" t="n">
        <x:f>IF(AND(Gate_On="Yes",B$5&lt;mNAV_Floor),0,L_ADV*MAX(0,B$5*(BTC_Held*$A11/1000000+'Net NAV'!B19-BTC_NAV_Now))/'Net NAV'!B16*L_Part*Trading_Days)</x:f>
        <x:v>0</x:v>
      </x:c>
      <x:c r="C11" s="113" t="n">
        <x:f>IF(AND(Gate_On="Yes",C$5&lt;mNAV_Floor),0,L_ADV*MAX(0,C$5*(BTC_Held*$A11/1000000+'Net NAV'!B19-BTC_NAV_Now))/'Net NAV'!B16*L_Part*Trading_Days)</x:f>
        <x:v>0</x:v>
      </x:c>
      <x:c r="D11" s="113" t="n">
        <x:f>IF(AND(Gate_On="Yes",D$5&lt;mNAV_Floor),0,L_ADV*MAX(0,D$5*(BTC_Held*$A11/1000000+'Net NAV'!B19-BTC_NAV_Now))/'Net NAV'!B16*L_Part*Trading_Days)</x:f>
        <x:v>18180.826851486854</x:v>
      </x:c>
      <x:c r="E11" s="113" t="n">
        <x:f>IF(AND(Gate_On="Yes",E$5&lt;mNAV_Floor),0,L_ADV*MAX(0,E$5*(BTC_Held*$A11/1000000+'Net NAV'!B19-BTC_NAV_Now))/'Net NAV'!B16*L_Part*Trading_Days)</x:f>
        <x:v>22726.033564358568</x:v>
      </x:c>
      <x:c r="F11" s="113" t="n">
        <x:f>IF(AND(Gate_On="Yes",F$5&lt;mNAV_Floor),0,L_ADV*MAX(0,F$5*(BTC_Held*$A11/1000000+'Net NAV'!B19-BTC_NAV_Now))/'Net NAV'!B16*L_Part*Trading_Days)</x:f>
        <x:v>27271.24027723028</x:v>
      </x:c>
      <x:c r="G11" s="113" t="n">
        <x:f>IF(AND(Gate_On="Yes",G$5&lt;mNAV_Floor),0,L_ADV*MAX(0,G$5*(BTC_Held*$A11/1000000+'Net NAV'!B19-BTC_NAV_Now))/'Net NAV'!B16*L_Part*Trading_Days)</x:f>
        <x:v>36361.65370297371</x:v>
      </x:c>
      <x:c r="H11" s="113" t="n">
        <x:f>IF(AND(Gate_On="Yes",H$5&lt;mNAV_Floor),0,L_ADV*MAX(0,H$5*(BTC_Held*$A11/1000000+'Net NAV'!B19-BTC_NAV_Now))/'Net NAV'!B16*L_Part*Trading_Days)</x:f>
        <x:v>45452.067128717135</x:v>
      </x:c>
    </x:row>
    <x:row r="12">
      <x:c r="A12" s="46" t="n">
        <x:v>125000</x:v>
      </x:c>
      <x:c r="B12" s="113" t="n">
        <x:f>IF(AND(Gate_On="Yes",B$5&lt;mNAV_Floor),0,L_ADV*MAX(0,B$5*(BTC_Held*$A12/1000000+'Net NAV'!B19-BTC_NAV_Now))/'Net NAV'!B16*L_Part*Trading_Days)</x:f>
        <x:v>0</x:v>
      </x:c>
      <x:c r="C12" s="113" t="n">
        <x:f>IF(AND(Gate_On="Yes",C$5&lt;mNAV_Floor),0,L_ADV*MAX(0,C$5*(BTC_Held*$A12/1000000+'Net NAV'!B19-BTC_NAV_Now))/'Net NAV'!B16*L_Part*Trading_Days)</x:f>
        <x:v>0</x:v>
      </x:c>
      <x:c r="D12" s="113" t="n">
        <x:f>IF(AND(Gate_On="Yes",D$5&lt;mNAV_Floor),0,L_ADV*MAX(0,D$5*(BTC_Held*$A12/1000000+'Net NAV'!B19-BTC_NAV_Now))/'Net NAV'!B16*L_Part*Trading_Days)</x:f>
        <x:v>23635.721206288683</x:v>
      </x:c>
      <x:c r="E12" s="113" t="n">
        <x:f>IF(AND(Gate_On="Yes",E$5&lt;mNAV_Floor),0,L_ADV*MAX(0,E$5*(BTC_Held*$A12/1000000+'Net NAV'!B19-BTC_NAV_Now))/'Net NAV'!B16*L_Part*Trading_Days)</x:f>
        <x:v>29544.65150786085</x:v>
      </x:c>
      <x:c r="F12" s="113" t="n">
        <x:f>IF(AND(Gate_On="Yes",F$5&lt;mNAV_Floor),0,L_ADV*MAX(0,F$5*(BTC_Held*$A12/1000000+'Net NAV'!B19-BTC_NAV_Now))/'Net NAV'!B16*L_Part*Trading_Days)</x:f>
        <x:v>35453.58180943302</x:v>
      </x:c>
      <x:c r="G12" s="113" t="n">
        <x:f>IF(AND(Gate_On="Yes",G$5&lt;mNAV_Floor),0,L_ADV*MAX(0,G$5*(BTC_Held*$A12/1000000+'Net NAV'!B19-BTC_NAV_Now))/'Net NAV'!B16*L_Part*Trading_Days)</x:f>
        <x:v>47271.442412577366</x:v>
      </x:c>
      <x:c r="H12" s="113" t="n">
        <x:f>IF(AND(Gate_On="Yes",H$5&lt;mNAV_Floor),0,L_ADV*MAX(0,H$5*(BTC_Held*$A12/1000000+'Net NAV'!B19-BTC_NAV_Now))/'Net NAV'!B16*L_Part*Trading_Days)</x:f>
        <x:v>59089.3030157217</x:v>
      </x:c>
    </x:row>
    <x:row r="13">
      <x:c r="A13" s="46" t="n">
        <x:v>150000</x:v>
      </x:c>
      <x:c r="B13" s="113" t="n">
        <x:f>IF(AND(Gate_On="Yes",B$5&lt;mNAV_Floor),0,L_ADV*MAX(0,B$5*(BTC_Held*$A13/1000000+'Net NAV'!B19-BTC_NAV_Now))/'Net NAV'!B16*L_Part*Trading_Days)</x:f>
        <x:v>0</x:v>
      </x:c>
      <x:c r="C13" s="113" t="n">
        <x:f>IF(AND(Gate_On="Yes",C$5&lt;mNAV_Floor),0,L_ADV*MAX(0,C$5*(BTC_Held*$A13/1000000+'Net NAV'!B19-BTC_NAV_Now))/'Net NAV'!B16*L_Part*Trading_Days)</x:f>
        <x:v>0</x:v>
      </x:c>
      <x:c r="D13" s="113" t="n">
        <x:f>IF(AND(Gate_On="Yes",D$5&lt;mNAV_Floor),0,L_ADV*MAX(0,D$5*(BTC_Held*$A13/1000000+'Net NAV'!B19-BTC_NAV_Now))/'Net NAV'!B16*L_Part*Trading_Days)</x:f>
        <x:v>29090.615561090504</x:v>
      </x:c>
      <x:c r="E13" s="113" t="n">
        <x:f>IF(AND(Gate_On="Yes",E$5&lt;mNAV_Floor),0,L_ADV*MAX(0,E$5*(BTC_Held*$A13/1000000+'Net NAV'!B19-BTC_NAV_Now))/'Net NAV'!B16*L_Part*Trading_Days)</x:f>
        <x:v>36363.26945136313</x:v>
      </x:c>
      <x:c r="F13" s="113" t="n">
        <x:f>IF(AND(Gate_On="Yes",F$5&lt;mNAV_Floor),0,L_ADV*MAX(0,F$5*(BTC_Held*$A13/1000000+'Net NAV'!B19-BTC_NAV_Now))/'Net NAV'!B16*L_Part*Trading_Days)</x:f>
        <x:v>43635.92334163576</x:v>
      </x:c>
      <x:c r="G13" s="113" t="n">
        <x:f>IF(AND(Gate_On="Yes",G$5&lt;mNAV_Floor),0,L_ADV*MAX(0,G$5*(BTC_Held*$A13/1000000+'Net NAV'!B19-BTC_NAV_Now))/'Net NAV'!B16*L_Part*Trading_Days)</x:f>
        <x:v>58181.23112218101</x:v>
      </x:c>
      <x:c r="H13" s="113" t="n">
        <x:f>IF(AND(Gate_On="Yes",H$5&lt;mNAV_Floor),0,L_ADV*MAX(0,H$5*(BTC_Held*$A13/1000000+'Net NAV'!B19-BTC_NAV_Now))/'Net NAV'!B16*L_Part*Trading_Days)</x:f>
        <x:v>72726.53890272626</x:v>
      </x:c>
    </x:row>
    <x:row r="14">
      <x:c r="A14" s="46" t="n">
        <x:v>200000</x:v>
      </x:c>
      <x:c r="B14" s="113" t="n">
        <x:f>IF(AND(Gate_On="Yes",B$5&lt;mNAV_Floor),0,L_ADV*MAX(0,B$5*(BTC_Held*$A14/1000000+'Net NAV'!B19-BTC_NAV_Now))/'Net NAV'!B16*L_Part*Trading_Days)</x:f>
        <x:v>0</x:v>
      </x:c>
      <x:c r="C14" s="113" t="n">
        <x:f>IF(AND(Gate_On="Yes",C$5&lt;mNAV_Floor),0,L_ADV*MAX(0,C$5*(BTC_Held*$A14/1000000+'Net NAV'!B19-BTC_NAV_Now))/'Net NAV'!B16*L_Part*Trading_Days)</x:f>
        <x:v>0</x:v>
      </x:c>
      <x:c r="D14" s="113" t="n">
        <x:f>IF(AND(Gate_On="Yes",D$5&lt;mNAV_Floor),0,L_ADV*MAX(0,D$5*(BTC_Held*$A14/1000000+'Net NAV'!B19-BTC_NAV_Now))/'Net NAV'!B16*L_Part*Trading_Days)</x:f>
        <x:v>40000.404270694155</x:v>
      </x:c>
      <x:c r="E14" s="113" t="n">
        <x:f>IF(AND(Gate_On="Yes",E$5&lt;mNAV_Floor),0,L_ADV*MAX(0,E$5*(BTC_Held*$A14/1000000+'Net NAV'!B19-BTC_NAV_Now))/'Net NAV'!B16*L_Part*Trading_Days)</x:f>
        <x:v>50000.5053383677</x:v>
      </x:c>
      <x:c r="F14" s="113" t="n">
        <x:f>IF(AND(Gate_On="Yes",F$5&lt;mNAV_Floor),0,L_ADV*MAX(0,F$5*(BTC_Held*$A14/1000000+'Net NAV'!B19-BTC_NAV_Now))/'Net NAV'!B16*L_Part*Trading_Days)</x:f>
        <x:v>60000.60640604123</x:v>
      </x:c>
      <x:c r="G14" s="113" t="n">
        <x:f>IF(AND(Gate_On="Yes",G$5&lt;mNAV_Floor),0,L_ADV*MAX(0,G$5*(BTC_Held*$A14/1000000+'Net NAV'!B19-BTC_NAV_Now))/'Net NAV'!B16*L_Part*Trading_Days)</x:f>
        <x:v>80000.80854138831</x:v>
      </x:c>
      <x:c r="H14" s="113" t="n">
        <x:f>IF(AND(Gate_On="Yes",H$5&lt;mNAV_Floor),0,L_ADV*MAX(0,H$5*(BTC_Held*$A14/1000000+'Net NAV'!B19-BTC_NAV_Now))/'Net NAV'!B16*L_Part*Trading_Days)</x:f>
        <x:v>100001.0106767354</x:v>
      </x:c>
    </x:row>
    <x:row r="15">
      <x:c r="A15" s="114" t="n">
        <x:f>BTC_Spot</x:f>
        <x:v>82131</x:v>
      </x:c>
      <x:c r="B15" s="115" t="n">
        <x:f>IF(AND(Gate_On="Yes",B$5&lt;mNAV_Floor),0,L_ADV*MAX(0,B$5*(BTC_Held*$A15/1000000+'Net NAV'!B19-BTC_NAV_Now))/'Net NAV'!B16*L_Part*Trading_Days)</x:f>
        <x:v>0</x:v>
      </x:c>
      <x:c r="C15" s="115" t="n">
        <x:f>IF(AND(Gate_On="Yes",C$5&lt;mNAV_Floor),0,L_ADV*MAX(0,C$5*(BTC_Held*$A15/1000000+'Net NAV'!B19-BTC_NAV_Now))/'Net NAV'!B16*L_Part*Trading_Days)</x:f>
        <x:v>0</x:v>
      </x:c>
      <x:c r="D15" s="115" t="n">
        <x:f>IF(AND(Gate_On="Yes",D$5&lt;mNAV_Floor),0,L_ADV*MAX(0,D$5*(BTC_Held*$A15/1000000+'Net NAV'!B19-BTC_NAV_Now))/'Net NAV'!B16*L_Part*Trading_Days)</x:f>
        <x:v>14281.886562448704</x:v>
      </x:c>
      <x:c r="E15" s="115" t="n">
        <x:f>IF(AND(Gate_On="Yes",E$5&lt;mNAV_Floor),0,L_ADV*MAX(0,E$5*(BTC_Held*$A15/1000000+'Net NAV'!B19-BTC_NAV_Now))/'Net NAV'!B16*L_Part*Trading_Days)</x:f>
        <x:v>17852.358203060878</x:v>
      </x:c>
      <x:c r="F15" s="115" t="n">
        <x:f>IF(AND(Gate_On="Yes",F$5&lt;mNAV_Floor),0,L_ADV*MAX(0,F$5*(BTC_Held*$A15/1000000+'Net NAV'!B19-BTC_NAV_Now))/'Net NAV'!B16*L_Part*Trading_Days)</x:f>
        <x:v>21422.82984367305</x:v>
      </x:c>
      <x:c r="G15" s="115" t="n">
        <x:f>IF(AND(Gate_On="Yes",G$5&lt;mNAV_Floor),0,L_ADV*MAX(0,G$5*(BTC_Held*$A15/1000000+'Net NAV'!B19-BTC_NAV_Now))/'Net NAV'!B16*L_Part*Trading_Days)</x:f>
        <x:v>28563.77312489741</x:v>
      </x:c>
      <x:c r="H15" s="115" t="n">
        <x:f>IF(AND(Gate_On="Yes",H$5&lt;mNAV_Floor),0,L_ADV*MAX(0,H$5*(BTC_Held*$A15/1000000+'Net NAV'!B19-BTC_NAV_Now))/'Net NAV'!B16*L_Part*Trading_Days)</x:f>
        <x:v>35704.716406121755</x:v>
      </x:c>
    </x:row>
    <x:row r="16">
      <x:c r="A16" s="26" t="inlineStr">
        <x:is>
          <x:t xml:space="preserve">Zero left of the mNAV floor (the gate). The orange last row is the Base BTC price.</x:t>
        </x:is>
      </x:c>
    </x:row>
    <x:row r="18">
      <x:c r="A18" s="40" t="inlineStr">
        <x:is>
          <x:t xml:space="preserve">Grid 2. Years of all fixed charges covered by Reserve + common sales</x:t>
        </x:is>
      </x:c>
      <x:c r="B18" s="41" t="n"/>
      <x:c r="C18" s="41" t="n"/>
      <x:c r="D18" s="41" t="n"/>
      <x:c r="E18" s="41" t="n"/>
      <x:c r="F18" s="41" t="n"/>
      <x:c r="G18" s="41" t="n"/>
      <x:c r="H18" s="41" t="n"/>
    </x:row>
    <x:row r="19">
      <x:c r="A19" s="2" t="inlineStr">
        <x:is>
          <x:t xml:space="preserve">BTC price ↓   mNAV →</x:t>
        </x:is>
      </x:c>
      <x:c r="B19" s="112" t="n">
        <x:v>0.6</x:v>
      </x:c>
      <x:c r="C19" s="112" t="n">
        <x:v>0.8</x:v>
      </x:c>
      <x:c r="D19" s="112" t="n">
        <x:v>1</x:v>
      </x:c>
      <x:c r="E19" s="112" t="n">
        <x:v>1.25</x:v>
      </x:c>
      <x:c r="F19" s="112" t="n">
        <x:v>1.5</x:v>
      </x:c>
      <x:c r="G19" s="112" t="n">
        <x:v>2</x:v>
      </x:c>
      <x:c r="H19" s="112" t="n">
        <x:v>2.5</x:v>
      </x:c>
    </x:row>
    <x:row r="20">
      <x:c r="A20" s="46" t="n">
        <x:v>30000</x:v>
      </x:c>
      <x:c r="B20" s="116" t="n">
        <x:f>MIN(Display_Cap,IF(AND(B6&lt;Charges_Total,B6*Reserve_Live/(Charges_Total-B6)&lt;=ATM_Cap),Reserve_Live/(Charges_Total-B6),(Reserve_Live+ATM_Cap)/Charges_Total))</x:f>
        <x:v>3.1288609815918327</x:v>
      </x:c>
      <x:c r="C20" s="116" t="n">
        <x:f>MIN(Display_Cap,IF(AND(C6&lt;Charges_Total,C6*Reserve_Live/(Charges_Total-C6)&lt;=ATM_Cap),Reserve_Live/(Charges_Total-C6),(Reserve_Live+ATM_Cap)/Charges_Total))</x:f>
        <x:v>3.1288609815918327</x:v>
      </x:c>
      <x:c r="D20" s="116" t="n">
        <x:f>MIN(Display_Cap,IF(AND(D6&lt;Charges_Total,D6*Reserve_Live/(Charges_Total-D6)&lt;=ATM_Cap),Reserve_Live/(Charges_Total-D6),(Reserve_Live+ATM_Cap)/Charges_Total))</x:f>
        <x:v>15.187542497449734</x:v>
      </x:c>
      <x:c r="E20" s="116" t="n">
        <x:f>MIN(Display_Cap,IF(AND(E6&lt;Charges_Total,E6*Reserve_Live/(Charges_Total-E6)&lt;=ATM_Cap),Reserve_Live/(Charges_Total-E6),(Reserve_Live+ATM_Cap)/Charges_Total))</x:f>
        <x:v>15.187542497449734</x:v>
      </x:c>
      <x:c r="F20" s="116" t="n">
        <x:f>MIN(Display_Cap,IF(AND(F6&lt;Charges_Total,F6*Reserve_Live/(Charges_Total-F6)&lt;=ATM_Cap),Reserve_Live/(Charges_Total-F6),(Reserve_Live+ATM_Cap)/Charges_Total))</x:f>
        <x:v>15.187542497449734</x:v>
      </x:c>
      <x:c r="G20" s="116" t="n">
        <x:f>MIN(Display_Cap,IF(AND(G6&lt;Charges_Total,G6*Reserve_Live/(Charges_Total-G6)&lt;=ATM_Cap),Reserve_Live/(Charges_Total-G6),(Reserve_Live+ATM_Cap)/Charges_Total))</x:f>
        <x:v>15.187542497449734</x:v>
      </x:c>
      <x:c r="H20" s="116" t="n">
        <x:f>MIN(Display_Cap,IF(AND(H6&lt;Charges_Total,H6*Reserve_Live/(Charges_Total-H6)&lt;=ATM_Cap),Reserve_Live/(Charges_Total-H6),(Reserve_Live+ATM_Cap)/Charges_Total))</x:f>
        <x:v>15.187542497449734</x:v>
      </x:c>
    </x:row>
    <x:row r="21">
      <x:c r="A21" s="46" t="n">
        <x:v>40000</x:v>
      </x:c>
      <x:c r="B21" s="116" t="n">
        <x:f>MIN(Display_Cap,IF(AND(B7&lt;Charges_Total,B7*Reserve_Live/(Charges_Total-B7)&lt;=ATM_Cap),Reserve_Live/(Charges_Total-B7),(Reserve_Live+ATM_Cap)/Charges_Total))</x:f>
        <x:v>3.1288609815918327</x:v>
      </x:c>
      <x:c r="C21" s="116" t="n">
        <x:f>MIN(Display_Cap,IF(AND(C7&lt;Charges_Total,C7*Reserve_Live/(Charges_Total-C7)&lt;=ATM_Cap),Reserve_Live/(Charges_Total-C7),(Reserve_Live+ATM_Cap)/Charges_Total))</x:f>
        <x:v>3.1288609815918327</x:v>
      </x:c>
      <x:c r="D21" s="116" t="n">
        <x:f>MIN(Display_Cap,IF(AND(D7&lt;Charges_Total,D7*Reserve_Live/(Charges_Total-D7)&lt;=ATM_Cap),Reserve_Live/(Charges_Total-D7),(Reserve_Live+ATM_Cap)/Charges_Total))</x:f>
        <x:v>15.187542497449734</x:v>
      </x:c>
      <x:c r="E21" s="116" t="n">
        <x:f>MIN(Display_Cap,IF(AND(E7&lt;Charges_Total,E7*Reserve_Live/(Charges_Total-E7)&lt;=ATM_Cap),Reserve_Live/(Charges_Total-E7),(Reserve_Live+ATM_Cap)/Charges_Total))</x:f>
        <x:v>15.187542497449734</x:v>
      </x:c>
      <x:c r="F21" s="116" t="n">
        <x:f>MIN(Display_Cap,IF(AND(F7&lt;Charges_Total,F7*Reserve_Live/(Charges_Total-F7)&lt;=ATM_Cap),Reserve_Live/(Charges_Total-F7),(Reserve_Live+ATM_Cap)/Charges_Total))</x:f>
        <x:v>15.187542497449734</x:v>
      </x:c>
      <x:c r="G21" s="116" t="n">
        <x:f>MIN(Display_Cap,IF(AND(G7&lt;Charges_Total,G7*Reserve_Live/(Charges_Total-G7)&lt;=ATM_Cap),Reserve_Live/(Charges_Total-G7),(Reserve_Live+ATM_Cap)/Charges_Total))</x:f>
        <x:v>15.187542497449734</x:v>
      </x:c>
      <x:c r="H21" s="116" t="n">
        <x:f>MIN(Display_Cap,IF(AND(H7&lt;Charges_Total,H7*Reserve_Live/(Charges_Total-H7)&lt;=ATM_Cap),Reserve_Live/(Charges_Total-H7),(Reserve_Live+ATM_Cap)/Charges_Total))</x:f>
        <x:v>15.187542497449734</x:v>
      </x:c>
    </x:row>
    <x:row r="22">
      <x:c r="A22" s="46" t="n">
        <x:v>50000</x:v>
      </x:c>
      <x:c r="B22" s="116" t="n">
        <x:f>MIN(Display_Cap,IF(AND(B8&lt;Charges_Total,B8*Reserve_Live/(Charges_Total-B8)&lt;=ATM_Cap),Reserve_Live/(Charges_Total-B8),(Reserve_Live+ATM_Cap)/Charges_Total))</x:f>
        <x:v>3.1288609815918327</x:v>
      </x:c>
      <x:c r="C22" s="116" t="n">
        <x:f>MIN(Display_Cap,IF(AND(C8&lt;Charges_Total,C8*Reserve_Live/(Charges_Total-C8)&lt;=ATM_Cap),Reserve_Live/(Charges_Total-C8),(Reserve_Live+ATM_Cap)/Charges_Total))</x:f>
        <x:v>3.1288609815918327</x:v>
      </x:c>
      <x:c r="D22" s="116" t="n">
        <x:f>MIN(Display_Cap,IF(AND(D8&lt;Charges_Total,D8*Reserve_Live/(Charges_Total-D8)&lt;=ATM_Cap),Reserve_Live/(Charges_Total-D8),(Reserve_Live+ATM_Cap)/Charges_Total))</x:f>
        <x:v>15.187542497449734</x:v>
      </x:c>
      <x:c r="E22" s="116" t="n">
        <x:f>MIN(Display_Cap,IF(AND(E8&lt;Charges_Total,E8*Reserve_Live/(Charges_Total-E8)&lt;=ATM_Cap),Reserve_Live/(Charges_Total-E8),(Reserve_Live+ATM_Cap)/Charges_Total))</x:f>
        <x:v>15.187542497449734</x:v>
      </x:c>
      <x:c r="F22" s="116" t="n">
        <x:f>MIN(Display_Cap,IF(AND(F8&lt;Charges_Total,F8*Reserve_Live/(Charges_Total-F8)&lt;=ATM_Cap),Reserve_Live/(Charges_Total-F8),(Reserve_Live+ATM_Cap)/Charges_Total))</x:f>
        <x:v>15.187542497449734</x:v>
      </x:c>
      <x:c r="G22" s="116" t="n">
        <x:f>MIN(Display_Cap,IF(AND(G8&lt;Charges_Total,G8*Reserve_Live/(Charges_Total-G8)&lt;=ATM_Cap),Reserve_Live/(Charges_Total-G8),(Reserve_Live+ATM_Cap)/Charges_Total))</x:f>
        <x:v>15.187542497449734</x:v>
      </x:c>
      <x:c r="H22" s="116" t="n">
        <x:f>MIN(Display_Cap,IF(AND(H8&lt;Charges_Total,H8*Reserve_Live/(Charges_Total-H8)&lt;=ATM_Cap),Reserve_Live/(Charges_Total-H8),(Reserve_Live+ATM_Cap)/Charges_Total))</x:f>
        <x:v>15.187542497449734</x:v>
      </x:c>
    </x:row>
    <x:row r="23">
      <x:c r="A23" s="46" t="n">
        <x:v>60000</x:v>
      </x:c>
      <x:c r="B23" s="116" t="n">
        <x:f>MIN(Display_Cap,IF(AND(B9&lt;Charges_Total,B9*Reserve_Live/(Charges_Total-B9)&lt;=ATM_Cap),Reserve_Live/(Charges_Total-B9),(Reserve_Live+ATM_Cap)/Charges_Total))</x:f>
        <x:v>3.1288609815918327</x:v>
      </x:c>
      <x:c r="C23" s="116" t="n">
        <x:f>MIN(Display_Cap,IF(AND(C9&lt;Charges_Total,C9*Reserve_Live/(Charges_Total-C9)&lt;=ATM_Cap),Reserve_Live/(Charges_Total-C9),(Reserve_Live+ATM_Cap)/Charges_Total))</x:f>
        <x:v>3.1288609815918327</x:v>
      </x:c>
      <x:c r="D23" s="116" t="n">
        <x:f>MIN(Display_Cap,IF(AND(D9&lt;Charges_Total,D9*Reserve_Live/(Charges_Total-D9)&lt;=ATM_Cap),Reserve_Live/(Charges_Total-D9),(Reserve_Live+ATM_Cap)/Charges_Total))</x:f>
        <x:v>15.187542497449734</x:v>
      </x:c>
      <x:c r="E23" s="116" t="n">
        <x:f>MIN(Display_Cap,IF(AND(E9&lt;Charges_Total,E9*Reserve_Live/(Charges_Total-E9)&lt;=ATM_Cap),Reserve_Live/(Charges_Total-E9),(Reserve_Live+ATM_Cap)/Charges_Total))</x:f>
        <x:v>15.187542497449734</x:v>
      </x:c>
      <x:c r="F23" s="116" t="n">
        <x:f>MIN(Display_Cap,IF(AND(F9&lt;Charges_Total,F9*Reserve_Live/(Charges_Total-F9)&lt;=ATM_Cap),Reserve_Live/(Charges_Total-F9),(Reserve_Live+ATM_Cap)/Charges_Total))</x:f>
        <x:v>15.187542497449734</x:v>
      </x:c>
      <x:c r="G23" s="116" t="n">
        <x:f>MIN(Display_Cap,IF(AND(G9&lt;Charges_Total,G9*Reserve_Live/(Charges_Total-G9)&lt;=ATM_Cap),Reserve_Live/(Charges_Total-G9),(Reserve_Live+ATM_Cap)/Charges_Total))</x:f>
        <x:v>15.187542497449734</x:v>
      </x:c>
      <x:c r="H23" s="116" t="n">
        <x:f>MIN(Display_Cap,IF(AND(H9&lt;Charges_Total,H9*Reserve_Live/(Charges_Total-H9)&lt;=ATM_Cap),Reserve_Live/(Charges_Total-H9),(Reserve_Live+ATM_Cap)/Charges_Total))</x:f>
        <x:v>15.187542497449734</x:v>
      </x:c>
    </x:row>
    <x:row r="24">
      <x:c r="A24" s="46" t="n">
        <x:v>75000</x:v>
      </x:c>
      <x:c r="B24" s="116" t="n">
        <x:f>MIN(Display_Cap,IF(AND(B10&lt;Charges_Total,B10*Reserve_Live/(Charges_Total-B10)&lt;=ATM_Cap),Reserve_Live/(Charges_Total-B10),(Reserve_Live+ATM_Cap)/Charges_Total))</x:f>
        <x:v>3.1288609815918327</x:v>
      </x:c>
      <x:c r="C24" s="116" t="n">
        <x:f>MIN(Display_Cap,IF(AND(C10&lt;Charges_Total,C10*Reserve_Live/(Charges_Total-C10)&lt;=ATM_Cap),Reserve_Live/(Charges_Total-C10),(Reserve_Live+ATM_Cap)/Charges_Total))</x:f>
        <x:v>3.1288609815918327</x:v>
      </x:c>
      <x:c r="D24" s="116" t="n">
        <x:f>MIN(Display_Cap,IF(AND(D10&lt;Charges_Total,D10*Reserve_Live/(Charges_Total-D10)&lt;=ATM_Cap),Reserve_Live/(Charges_Total-D10),(Reserve_Live+ATM_Cap)/Charges_Total))</x:f>
        <x:v>15.187542497449734</x:v>
      </x:c>
      <x:c r="E24" s="116" t="n">
        <x:f>MIN(Display_Cap,IF(AND(E10&lt;Charges_Total,E10*Reserve_Live/(Charges_Total-E10)&lt;=ATM_Cap),Reserve_Live/(Charges_Total-E10),(Reserve_Live+ATM_Cap)/Charges_Total))</x:f>
        <x:v>15.187542497449734</x:v>
      </x:c>
      <x:c r="F24" s="116" t="n">
        <x:f>MIN(Display_Cap,IF(AND(F10&lt;Charges_Total,F10*Reserve_Live/(Charges_Total-F10)&lt;=ATM_Cap),Reserve_Live/(Charges_Total-F10),(Reserve_Live+ATM_Cap)/Charges_Total))</x:f>
        <x:v>15.187542497449734</x:v>
      </x:c>
      <x:c r="G24" s="116" t="n">
        <x:f>MIN(Display_Cap,IF(AND(G10&lt;Charges_Total,G10*Reserve_Live/(Charges_Total-G10)&lt;=ATM_Cap),Reserve_Live/(Charges_Total-G10),(Reserve_Live+ATM_Cap)/Charges_Total))</x:f>
        <x:v>15.187542497449734</x:v>
      </x:c>
      <x:c r="H24" s="116" t="n">
        <x:f>MIN(Display_Cap,IF(AND(H10&lt;Charges_Total,H10*Reserve_Live/(Charges_Total-H10)&lt;=ATM_Cap),Reserve_Live/(Charges_Total-H10),(Reserve_Live+ATM_Cap)/Charges_Total))</x:f>
        <x:v>15.187542497449734</x:v>
      </x:c>
    </x:row>
    <x:row r="25">
      <x:c r="A25" s="46" t="n">
        <x:v>100000</x:v>
      </x:c>
      <x:c r="B25" s="116" t="n">
        <x:f>MIN(Display_Cap,IF(AND(B11&lt;Charges_Total,B11*Reserve_Live/(Charges_Total-B11)&lt;=ATM_Cap),Reserve_Live/(Charges_Total-B11),(Reserve_Live+ATM_Cap)/Charges_Total))</x:f>
        <x:v>3.1288609815918327</x:v>
      </x:c>
      <x:c r="C25" s="116" t="n">
        <x:f>MIN(Display_Cap,IF(AND(C11&lt;Charges_Total,C11*Reserve_Live/(Charges_Total-C11)&lt;=ATM_Cap),Reserve_Live/(Charges_Total-C11),(Reserve_Live+ATM_Cap)/Charges_Total))</x:f>
        <x:v>3.1288609815918327</x:v>
      </x:c>
      <x:c r="D25" s="116" t="n">
        <x:f>MIN(Display_Cap,IF(AND(D11&lt;Charges_Total,D11*Reserve_Live/(Charges_Total-D11)&lt;=ATM_Cap),Reserve_Live/(Charges_Total-D11),(Reserve_Live+ATM_Cap)/Charges_Total))</x:f>
        <x:v>15.187542497449734</x:v>
      </x:c>
      <x:c r="E25" s="116" t="n">
        <x:f>MIN(Display_Cap,IF(AND(E11&lt;Charges_Total,E11*Reserve_Live/(Charges_Total-E11)&lt;=ATM_Cap),Reserve_Live/(Charges_Total-E11),(Reserve_Live+ATM_Cap)/Charges_Total))</x:f>
        <x:v>15.187542497449734</x:v>
      </x:c>
      <x:c r="F25" s="116" t="n">
        <x:f>MIN(Display_Cap,IF(AND(F11&lt;Charges_Total,F11*Reserve_Live/(Charges_Total-F11)&lt;=ATM_Cap),Reserve_Live/(Charges_Total-F11),(Reserve_Live+ATM_Cap)/Charges_Total))</x:f>
        <x:v>15.187542497449734</x:v>
      </x:c>
      <x:c r="G25" s="116" t="n">
        <x:f>MIN(Display_Cap,IF(AND(G11&lt;Charges_Total,G11*Reserve_Live/(Charges_Total-G11)&lt;=ATM_Cap),Reserve_Live/(Charges_Total-G11),(Reserve_Live+ATM_Cap)/Charges_Total))</x:f>
        <x:v>15.187542497449734</x:v>
      </x:c>
      <x:c r="H25" s="116" t="n">
        <x:f>MIN(Display_Cap,IF(AND(H11&lt;Charges_Total,H11*Reserve_Live/(Charges_Total-H11)&lt;=ATM_Cap),Reserve_Live/(Charges_Total-H11),(Reserve_Live+ATM_Cap)/Charges_Total))</x:f>
        <x:v>15.187542497449734</x:v>
      </x:c>
    </x:row>
    <x:row r="26">
      <x:c r="A26" s="46" t="n">
        <x:v>125000</x:v>
      </x:c>
      <x:c r="B26" s="116" t="n">
        <x:f>MIN(Display_Cap,IF(AND(B12&lt;Charges_Total,B12*Reserve_Live/(Charges_Total-B12)&lt;=ATM_Cap),Reserve_Live/(Charges_Total-B12),(Reserve_Live+ATM_Cap)/Charges_Total))</x:f>
        <x:v>3.1288609815918327</x:v>
      </x:c>
      <x:c r="C26" s="116" t="n">
        <x:f>MIN(Display_Cap,IF(AND(C12&lt;Charges_Total,C12*Reserve_Live/(Charges_Total-C12)&lt;=ATM_Cap),Reserve_Live/(Charges_Total-C12),(Reserve_Live+ATM_Cap)/Charges_Total))</x:f>
        <x:v>3.1288609815918327</x:v>
      </x:c>
      <x:c r="D26" s="116" t="n">
        <x:f>MIN(Display_Cap,IF(AND(D12&lt;Charges_Total,D12*Reserve_Live/(Charges_Total-D12)&lt;=ATM_Cap),Reserve_Live/(Charges_Total-D12),(Reserve_Live+ATM_Cap)/Charges_Total))</x:f>
        <x:v>15.187542497449734</x:v>
      </x:c>
      <x:c r="E26" s="116" t="n">
        <x:f>MIN(Display_Cap,IF(AND(E12&lt;Charges_Total,E12*Reserve_Live/(Charges_Total-E12)&lt;=ATM_Cap),Reserve_Live/(Charges_Total-E12),(Reserve_Live+ATM_Cap)/Charges_Total))</x:f>
        <x:v>15.187542497449734</x:v>
      </x:c>
      <x:c r="F26" s="116" t="n">
        <x:f>MIN(Display_Cap,IF(AND(F12&lt;Charges_Total,F12*Reserve_Live/(Charges_Total-F12)&lt;=ATM_Cap),Reserve_Live/(Charges_Total-F12),(Reserve_Live+ATM_Cap)/Charges_Total))</x:f>
        <x:v>15.187542497449734</x:v>
      </x:c>
      <x:c r="G26" s="116" t="n">
        <x:f>MIN(Display_Cap,IF(AND(G12&lt;Charges_Total,G12*Reserve_Live/(Charges_Total-G12)&lt;=ATM_Cap),Reserve_Live/(Charges_Total-G12),(Reserve_Live+ATM_Cap)/Charges_Total))</x:f>
        <x:v>15.187542497449734</x:v>
      </x:c>
      <x:c r="H26" s="116" t="n">
        <x:f>MIN(Display_Cap,IF(AND(H12&lt;Charges_Total,H12*Reserve_Live/(Charges_Total-H12)&lt;=ATM_Cap),Reserve_Live/(Charges_Total-H12),(Reserve_Live+ATM_Cap)/Charges_Total))</x:f>
        <x:v>15.187542497449734</x:v>
      </x:c>
    </x:row>
    <x:row r="27">
      <x:c r="A27" s="46" t="n">
        <x:v>150000</x:v>
      </x:c>
      <x:c r="B27" s="116" t="n">
        <x:f>MIN(Display_Cap,IF(AND(B13&lt;Charges_Total,B13*Reserve_Live/(Charges_Total-B13)&lt;=ATM_Cap),Reserve_Live/(Charges_Total-B13),(Reserve_Live+ATM_Cap)/Charges_Total))</x:f>
        <x:v>3.1288609815918327</x:v>
      </x:c>
      <x:c r="C27" s="116" t="n">
        <x:f>MIN(Display_Cap,IF(AND(C13&lt;Charges_Total,C13*Reserve_Live/(Charges_Total-C13)&lt;=ATM_Cap),Reserve_Live/(Charges_Total-C13),(Reserve_Live+ATM_Cap)/Charges_Total))</x:f>
        <x:v>3.1288609815918327</x:v>
      </x:c>
      <x:c r="D27" s="116" t="n">
        <x:f>MIN(Display_Cap,IF(AND(D13&lt;Charges_Total,D13*Reserve_Live/(Charges_Total-D13)&lt;=ATM_Cap),Reserve_Live/(Charges_Total-D13),(Reserve_Live+ATM_Cap)/Charges_Total))</x:f>
        <x:v>15.187542497449734</x:v>
      </x:c>
      <x:c r="E27" s="116" t="n">
        <x:f>MIN(Display_Cap,IF(AND(E13&lt;Charges_Total,E13*Reserve_Live/(Charges_Total-E13)&lt;=ATM_Cap),Reserve_Live/(Charges_Total-E13),(Reserve_Live+ATM_Cap)/Charges_Total))</x:f>
        <x:v>15.187542497449734</x:v>
      </x:c>
      <x:c r="F27" s="116" t="n">
        <x:f>MIN(Display_Cap,IF(AND(F13&lt;Charges_Total,F13*Reserve_Live/(Charges_Total-F13)&lt;=ATM_Cap),Reserve_Live/(Charges_Total-F13),(Reserve_Live+ATM_Cap)/Charges_Total))</x:f>
        <x:v>15.187542497449734</x:v>
      </x:c>
      <x:c r="G27" s="116" t="n">
        <x:f>MIN(Display_Cap,IF(AND(G13&lt;Charges_Total,G13*Reserve_Live/(Charges_Total-G13)&lt;=ATM_Cap),Reserve_Live/(Charges_Total-G13),(Reserve_Live+ATM_Cap)/Charges_Total))</x:f>
        <x:v>15.187542497449734</x:v>
      </x:c>
      <x:c r="H27" s="116" t="n">
        <x:f>MIN(Display_Cap,IF(AND(H13&lt;Charges_Total,H13*Reserve_Live/(Charges_Total-H13)&lt;=ATM_Cap),Reserve_Live/(Charges_Total-H13),(Reserve_Live+ATM_Cap)/Charges_Total))</x:f>
        <x:v>15.187542497449734</x:v>
      </x:c>
    </x:row>
    <x:row r="28">
      <x:c r="A28" s="46" t="n">
        <x:v>200000</x:v>
      </x:c>
      <x:c r="B28" s="116" t="n">
        <x:f>MIN(Display_Cap,IF(AND(B14&lt;Charges_Total,B14*Reserve_Live/(Charges_Total-B14)&lt;=ATM_Cap),Reserve_Live/(Charges_Total-B14),(Reserve_Live+ATM_Cap)/Charges_Total))</x:f>
        <x:v>3.1288609815918327</x:v>
      </x:c>
      <x:c r="C28" s="116" t="n">
        <x:f>MIN(Display_Cap,IF(AND(C14&lt;Charges_Total,C14*Reserve_Live/(Charges_Total-C14)&lt;=ATM_Cap),Reserve_Live/(Charges_Total-C14),(Reserve_Live+ATM_Cap)/Charges_Total))</x:f>
        <x:v>3.1288609815918327</x:v>
      </x:c>
      <x:c r="D28" s="116" t="n">
        <x:f>MIN(Display_Cap,IF(AND(D14&lt;Charges_Total,D14*Reserve_Live/(Charges_Total-D14)&lt;=ATM_Cap),Reserve_Live/(Charges_Total-D14),(Reserve_Live+ATM_Cap)/Charges_Total))</x:f>
        <x:v>15.187542497449734</x:v>
      </x:c>
      <x:c r="E28" s="116" t="n">
        <x:f>MIN(Display_Cap,IF(AND(E14&lt;Charges_Total,E14*Reserve_Live/(Charges_Total-E14)&lt;=ATM_Cap),Reserve_Live/(Charges_Total-E14),(Reserve_Live+ATM_Cap)/Charges_Total))</x:f>
        <x:v>15.187542497449734</x:v>
      </x:c>
      <x:c r="F28" s="116" t="n">
        <x:f>MIN(Display_Cap,IF(AND(F14&lt;Charges_Total,F14*Reserve_Live/(Charges_Total-F14)&lt;=ATM_Cap),Reserve_Live/(Charges_Total-F14),(Reserve_Live+ATM_Cap)/Charges_Total))</x:f>
        <x:v>15.187542497449734</x:v>
      </x:c>
      <x:c r="G28" s="116" t="n">
        <x:f>MIN(Display_Cap,IF(AND(G14&lt;Charges_Total,G14*Reserve_Live/(Charges_Total-G14)&lt;=ATM_Cap),Reserve_Live/(Charges_Total-G14),(Reserve_Live+ATM_Cap)/Charges_Total))</x:f>
        <x:v>15.187542497449734</x:v>
      </x:c>
      <x:c r="H28" s="116" t="n">
        <x:f>MIN(Display_Cap,IF(AND(H14&lt;Charges_Total,H14*Reserve_Live/(Charges_Total-H14)&lt;=ATM_Cap),Reserve_Live/(Charges_Total-H14),(Reserve_Live+ATM_Cap)/Charges_Total))</x:f>
        <x:v>15.187542497449734</x:v>
      </x:c>
    </x:row>
    <x:row r="29">
      <x:c r="A29" s="114" t="n">
        <x:f>BTC_Spot</x:f>
        <x:v>82131</x:v>
      </x:c>
      <x:c r="B29" s="117" t="n">
        <x:f>MIN(Display_Cap,IF(AND(B15&lt;Charges_Total,B15*Reserve_Live/(Charges_Total-B15)&lt;=ATM_Cap),Reserve_Live/(Charges_Total-B15),(Reserve_Live+ATM_Cap)/Charges_Total))</x:f>
        <x:v>3.1288609815918327</x:v>
      </x:c>
      <x:c r="C29" s="117" t="n">
        <x:f>MIN(Display_Cap,IF(AND(C15&lt;Charges_Total,C15*Reserve_Live/(Charges_Total-C15)&lt;=ATM_Cap),Reserve_Live/(Charges_Total-C15),(Reserve_Live+ATM_Cap)/Charges_Total))</x:f>
        <x:v>3.1288609815918327</x:v>
      </x:c>
      <x:c r="D29" s="117" t="n">
        <x:f>MIN(Display_Cap,IF(AND(D15&lt;Charges_Total,D15*Reserve_Live/(Charges_Total-D15)&lt;=ATM_Cap),Reserve_Live/(Charges_Total-D15),(Reserve_Live+ATM_Cap)/Charges_Total))</x:f>
        <x:v>15.187542497449734</x:v>
      </x:c>
      <x:c r="E29" s="117" t="n">
        <x:f>MIN(Display_Cap,IF(AND(E15&lt;Charges_Total,E15*Reserve_Live/(Charges_Total-E15)&lt;=ATM_Cap),Reserve_Live/(Charges_Total-E15),(Reserve_Live+ATM_Cap)/Charges_Total))</x:f>
        <x:v>15.187542497449734</x:v>
      </x:c>
      <x:c r="F29" s="117" t="n">
        <x:f>MIN(Display_Cap,IF(AND(F15&lt;Charges_Total,F15*Reserve_Live/(Charges_Total-F15)&lt;=ATM_Cap),Reserve_Live/(Charges_Total-F15),(Reserve_Live+ATM_Cap)/Charges_Total))</x:f>
        <x:v>15.187542497449734</x:v>
      </x:c>
      <x:c r="G29" s="117" t="n">
        <x:f>MIN(Display_Cap,IF(AND(G15&lt;Charges_Total,G15*Reserve_Live/(Charges_Total-G15)&lt;=ATM_Cap),Reserve_Live/(Charges_Total-G15),(Reserve_Live+ATM_Cap)/Charges_Total))</x:f>
        <x:v>15.187542497449734</x:v>
      </x:c>
      <x:c r="H29" s="117" t="n">
        <x:f>MIN(Display_Cap,IF(AND(H15&lt;Charges_Total,H15*Reserve_Live/(Charges_Total-H15)&lt;=ATM_Cap),Reserve_Live/(Charges_Total-H15),(Reserve_Live+ATM_Cap)/Charges_Total))</x:f>
        <x:v>15.187542497449734</x:v>
      </x:c>
    </x:row>
    <x:row r="30">
      <x:c r="A30" s="26" t="inlineStr">
        <x:is>
          <x:t xml:space="preserve">Red: under 1 year. Amber: under Target_Years. With the ATM cap on, coverage above the floor is (Reserve + ATM) / charges.</x:t>
        </x:is>
      </x:c>
    </x:row>
    <x:row r="32">
      <x:c r="A32" s="40" t="inlineStr">
        <x:is>
          <x:t xml:space="preserve">Grid 3. MSTR dilution to fund one year of charges (% of shares)</x:t>
        </x:is>
      </x:c>
      <x:c r="B32" s="41" t="n"/>
      <x:c r="C32" s="41" t="n"/>
      <x:c r="D32" s="41" t="n"/>
      <x:c r="E32" s="41" t="n"/>
      <x:c r="F32" s="41" t="n"/>
      <x:c r="G32" s="41" t="n"/>
      <x:c r="H32" s="41" t="n"/>
    </x:row>
    <x:row r="33">
      <x:c r="A33" s="2" t="inlineStr">
        <x:is>
          <x:t xml:space="preserve">BTC price ↓   mNAV →</x:t>
        </x:is>
      </x:c>
      <x:c r="B33" s="112" t="n">
        <x:v>0.6</x:v>
      </x:c>
      <x:c r="C33" s="112" t="n">
        <x:v>0.8</x:v>
      </x:c>
      <x:c r="D33" s="112" t="n">
        <x:v>1</x:v>
      </x:c>
      <x:c r="E33" s="112" t="n">
        <x:v>1.25</x:v>
      </x:c>
      <x:c r="F33" s="112" t="n">
        <x:v>1.5</x:v>
      </x:c>
      <x:c r="G33" s="112" t="n">
        <x:v>2</x:v>
      </x:c>
      <x:c r="H33" s="112" t="n">
        <x:v>2.5</x:v>
      </x:c>
    </x:row>
    <x:row r="34">
      <x:c r="A34" s="46" t="n">
        <x:v>30000</x:v>
      </x:c>
      <x:c r="B34" s="118" t="str">
        <x:f>IF(AND(Gate_On="Yes",B$33&lt;mNAV_Floor),"gate",IF(MAX(0,B$33*(BTC_Held*$A34/1000000+'Net NAV'!B19-BTC_NAV_Now))=0,"wiped out",Charges_Total/MAX(0,B$33*(BTC_Held*$A34/1000000+'Net NAV'!B19-BTC_NAV_Now))))</x:f>
        <x:v>gate</x:v>
      </x:c>
      <x:c r="C34" s="118" t="str">
        <x:f>IF(AND(Gate_On="Yes",C$33&lt;mNAV_Floor),"gate",IF(MAX(0,C$33*(BTC_Held*$A34/1000000+'Net NAV'!B19-BTC_NAV_Now))=0,"wiped out",Charges_Total/MAX(0,C$33*(BTC_Held*$A34/1000000+'Net NAV'!B19-BTC_NAV_Now))))</x:f>
        <x:v>gate</x:v>
      </x:c>
      <x:c r="D34" s="118" t="n">
        <x:f>IF(AND(Gate_On="Yes",D$33&lt;mNAV_Floor),"gate",IF(MAX(0,D$33*(BTC_Held*$A34/1000000+'Net NAV'!B19-BTC_NAV_Now))=0,"wiped out",Charges_Total/MAX(0,D$33*(BTC_Held*$A34/1000000+'Net NAV'!B19-BTC_NAV_Now))))</x:f>
        <x:v>0.13800431493704948</x:v>
      </x:c>
      <x:c r="E34" s="118" t="n">
        <x:f>IF(AND(Gate_On="Yes",E$33&lt;mNAV_Floor),"gate",IF(MAX(0,E$33*(BTC_Held*$A34/1000000+'Net NAV'!B19-BTC_NAV_Now))=0,"wiped out",Charges_Total/MAX(0,E$33*(BTC_Held*$A34/1000000+'Net NAV'!B19-BTC_NAV_Now))))</x:f>
        <x:v>0.11040345194963959</x:v>
      </x:c>
      <x:c r="F34" s="118" t="n">
        <x:f>IF(AND(Gate_On="Yes",F$33&lt;mNAV_Floor),"gate",IF(MAX(0,F$33*(BTC_Held*$A34/1000000+'Net NAV'!B19-BTC_NAV_Now))=0,"wiped out",Charges_Total/MAX(0,F$33*(BTC_Held*$A34/1000000+'Net NAV'!B19-BTC_NAV_Now))))</x:f>
        <x:v>0.09200287662469966</x:v>
      </x:c>
      <x:c r="G34" s="118" t="n">
        <x:f>IF(AND(Gate_On="Yes",G$33&lt;mNAV_Floor),"gate",IF(MAX(0,G$33*(BTC_Held*$A34/1000000+'Net NAV'!B19-BTC_NAV_Now))=0,"wiped out",Charges_Total/MAX(0,G$33*(BTC_Held*$A34/1000000+'Net NAV'!B19-BTC_NAV_Now))))</x:f>
        <x:v>0.06900215746852474</x:v>
      </x:c>
      <x:c r="H34" s="118" t="n">
        <x:f>IF(AND(Gate_On="Yes",H$33&lt;mNAV_Floor),"gate",IF(MAX(0,H$33*(BTC_Held*$A34/1000000+'Net NAV'!B19-BTC_NAV_Now))=0,"wiped out",Charges_Total/MAX(0,H$33*(BTC_Held*$A34/1000000+'Net NAV'!B19-BTC_NAV_Now))))</x:f>
        <x:v>0.055201725974819794</x:v>
      </x:c>
    </x:row>
    <x:row r="35">
      <x:c r="A35" s="46" t="n">
        <x:v>40000</x:v>
      </x:c>
      <x:c r="B35" s="118" t="str">
        <x:f>IF(AND(Gate_On="Yes",B$33&lt;mNAV_Floor),"gate",IF(MAX(0,B$33*(BTC_Held*$A35/1000000+'Net NAV'!B19-BTC_NAV_Now))=0,"wiped out",Charges_Total/MAX(0,B$33*(BTC_Held*$A35/1000000+'Net NAV'!B19-BTC_NAV_Now))))</x:f>
        <x:v>gate</x:v>
      </x:c>
      <x:c r="C35" s="118" t="str">
        <x:f>IF(AND(Gate_On="Yes",C$33&lt;mNAV_Floor),"gate",IF(MAX(0,C$33*(BTC_Held*$A35/1000000+'Net NAV'!B19-BTC_NAV_Now))=0,"wiped out",Charges_Total/MAX(0,C$33*(BTC_Held*$A35/1000000+'Net NAV'!B19-BTC_NAV_Now))))</x:f>
        <x:v>gate</x:v>
      </x:c>
      <x:c r="D35" s="118" t="n">
        <x:f>IF(AND(Gate_On="Yes",D$33&lt;mNAV_Floor),"gate",IF(MAX(0,D$33*(BTC_Held*$A35/1000000+'Net NAV'!B19-BTC_NAV_Now))=0,"wiped out",Charges_Total/MAX(0,D$33*(BTC_Held*$A35/1000000+'Net NAV'!B19-BTC_NAV_Now))))</x:f>
        <x:v>0.07883457114648523</x:v>
      </x:c>
      <x:c r="E35" s="118" t="n">
        <x:f>IF(AND(Gate_On="Yes",E$33&lt;mNAV_Floor),"gate",IF(MAX(0,E$33*(BTC_Held*$A35/1000000+'Net NAV'!B19-BTC_NAV_Now))=0,"wiped out",Charges_Total/MAX(0,E$33*(BTC_Held*$A35/1000000+'Net NAV'!B19-BTC_NAV_Now))))</x:f>
        <x:v>0.06306765691718819</x:v>
      </x:c>
      <x:c r="F35" s="118" t="n">
        <x:f>IF(AND(Gate_On="Yes",F$33&lt;mNAV_Floor),"gate",IF(MAX(0,F$33*(BTC_Held*$A35/1000000+'Net NAV'!B19-BTC_NAV_Now))=0,"wiped out",Charges_Total/MAX(0,F$33*(BTC_Held*$A35/1000000+'Net NAV'!B19-BTC_NAV_Now))))</x:f>
        <x:v>0.05255638076432349</x:v>
      </x:c>
      <x:c r="G35" s="118" t="n">
        <x:f>IF(AND(Gate_On="Yes",G$33&lt;mNAV_Floor),"gate",IF(MAX(0,G$33*(BTC_Held*$A35/1000000+'Net NAV'!B19-BTC_NAV_Now))=0,"wiped out",Charges_Total/MAX(0,G$33*(BTC_Held*$A35/1000000+'Net NAV'!B19-BTC_NAV_Now))))</x:f>
        <x:v>0.039417285573242616</x:v>
      </x:c>
      <x:c r="H35" s="118" t="n">
        <x:f>IF(AND(Gate_On="Yes",H$33&lt;mNAV_Floor),"gate",IF(MAX(0,H$33*(BTC_Held*$A35/1000000+'Net NAV'!B19-BTC_NAV_Now))=0,"wiped out",Charges_Total/MAX(0,H$33*(BTC_Held*$A35/1000000+'Net NAV'!B19-BTC_NAV_Now))))</x:f>
        <x:v>0.03153382845859409</x:v>
      </x:c>
    </x:row>
    <x:row r="36">
      <x:c r="A36" s="46" t="n">
        <x:v>50000</x:v>
      </x:c>
      <x:c r="B36" s="118" t="str">
        <x:f>IF(AND(Gate_On="Yes",B$33&lt;mNAV_Floor),"gate",IF(MAX(0,B$33*(BTC_Held*$A36/1000000+'Net NAV'!B19-BTC_NAV_Now))=0,"wiped out",Charges_Total/MAX(0,B$33*(BTC_Held*$A36/1000000+'Net NAV'!B19-BTC_NAV_Now))))</x:f>
        <x:v>gate</x:v>
      </x:c>
      <x:c r="C36" s="118" t="str">
        <x:f>IF(AND(Gate_On="Yes",C$33&lt;mNAV_Floor),"gate",IF(MAX(0,C$33*(BTC_Held*$A36/1000000+'Net NAV'!B19-BTC_NAV_Now))=0,"wiped out",Charges_Total/MAX(0,C$33*(BTC_Held*$A36/1000000+'Net NAV'!B19-BTC_NAV_Now))))</x:f>
        <x:v>gate</x:v>
      </x:c>
      <x:c r="D36" s="118" t="n">
        <x:f>IF(AND(Gate_On="Yes",D$33&lt;mNAV_Floor),"gate",IF(MAX(0,D$33*(BTC_Held*$A36/1000000+'Net NAV'!B19-BTC_NAV_Now))=0,"wiped out",Charges_Total/MAX(0,D$33*(BTC_Held*$A36/1000000+'Net NAV'!B19-BTC_NAV_Now))))</x:f>
        <x:v>0.05517719244931856</x:v>
      </x:c>
      <x:c r="E36" s="118" t="n">
        <x:f>IF(AND(Gate_On="Yes",E$33&lt;mNAV_Floor),"gate",IF(MAX(0,E$33*(BTC_Held*$A36/1000000+'Net NAV'!B19-BTC_NAV_Now))=0,"wiped out",Charges_Total/MAX(0,E$33*(BTC_Held*$A36/1000000+'Net NAV'!B19-BTC_NAV_Now))))</x:f>
        <x:v>0.04414175395945485</x:v>
      </x:c>
      <x:c r="F36" s="118" t="n">
        <x:f>IF(AND(Gate_On="Yes",F$33&lt;mNAV_Floor),"gate",IF(MAX(0,F$33*(BTC_Held*$A36/1000000+'Net NAV'!B19-BTC_NAV_Now))=0,"wiped out",Charges_Total/MAX(0,F$33*(BTC_Held*$A36/1000000+'Net NAV'!B19-BTC_NAV_Now))))</x:f>
        <x:v>0.03678479496621238</x:v>
      </x:c>
      <x:c r="G36" s="118" t="n">
        <x:f>IF(AND(Gate_On="Yes",G$33&lt;mNAV_Floor),"gate",IF(MAX(0,G$33*(BTC_Held*$A36/1000000+'Net NAV'!B19-BTC_NAV_Now))=0,"wiped out",Charges_Total/MAX(0,G$33*(BTC_Held*$A36/1000000+'Net NAV'!B19-BTC_NAV_Now))))</x:f>
        <x:v>0.02758859622465928</x:v>
      </x:c>
      <x:c r="H36" s="118" t="n">
        <x:f>IF(AND(Gate_On="Yes",H$33&lt;mNAV_Floor),"gate",IF(MAX(0,H$33*(BTC_Held*$A36/1000000+'Net NAV'!B19-BTC_NAV_Now))=0,"wiped out",Charges_Total/MAX(0,H$33*(BTC_Held*$A36/1000000+'Net NAV'!B19-BTC_NAV_Now))))</x:f>
        <x:v>0.022070876979727424</x:v>
      </x:c>
    </x:row>
    <x:row r="37">
      <x:c r="A37" s="46" t="n">
        <x:v>60000</x:v>
      </x:c>
      <x:c r="B37" s="118" t="str">
        <x:f>IF(AND(Gate_On="Yes",B$33&lt;mNAV_Floor),"gate",IF(MAX(0,B$33*(BTC_Held*$A37/1000000+'Net NAV'!B19-BTC_NAV_Now))=0,"wiped out",Charges_Total/MAX(0,B$33*(BTC_Held*$A37/1000000+'Net NAV'!B19-BTC_NAV_Now))))</x:f>
        <x:v>gate</x:v>
      </x:c>
      <x:c r="C37" s="118" t="str">
        <x:f>IF(AND(Gate_On="Yes",C$33&lt;mNAV_Floor),"gate",IF(MAX(0,C$33*(BTC_Held*$A37/1000000+'Net NAV'!B19-BTC_NAV_Now))=0,"wiped out",Charges_Total/MAX(0,C$33*(BTC_Held*$A37/1000000+'Net NAV'!B19-BTC_NAV_Now))))</x:f>
        <x:v>gate</x:v>
      </x:c>
      <x:c r="D37" s="118" t="n">
        <x:f>IF(AND(Gate_On="Yes",D$33&lt;mNAV_Floor),"gate",IF(MAX(0,D$33*(BTC_Held*$A37/1000000+'Net NAV'!B19-BTC_NAV_Now))=0,"wiped out",Charges_Total/MAX(0,D$33*(BTC_Held*$A37/1000000+'Net NAV'!B19-BTC_NAV_Now))))</x:f>
        <x:v>0.042441092304758524</x:v>
      </x:c>
      <x:c r="E37" s="118" t="n">
        <x:f>IF(AND(Gate_On="Yes",E$33&lt;mNAV_Floor),"gate",IF(MAX(0,E$33*(BTC_Held*$A37/1000000+'Net NAV'!B19-BTC_NAV_Now))=0,"wiped out",Charges_Total/MAX(0,E$33*(BTC_Held*$A37/1000000+'Net NAV'!B19-BTC_NAV_Now))))</x:f>
        <x:v>0.033952873843806824</x:v>
      </x:c>
      <x:c r="F37" s="118" t="n">
        <x:f>IF(AND(Gate_On="Yes",F$33&lt;mNAV_Floor),"gate",IF(MAX(0,F$33*(BTC_Held*$A37/1000000+'Net NAV'!B19-BTC_NAV_Now))=0,"wiped out",Charges_Total/MAX(0,F$33*(BTC_Held*$A37/1000000+'Net NAV'!B19-BTC_NAV_Now))))</x:f>
        <x:v>0.028294061536505686</x:v>
      </x:c>
      <x:c r="G37" s="118" t="n">
        <x:f>IF(AND(Gate_On="Yes",G$33&lt;mNAV_Floor),"gate",IF(MAX(0,G$33*(BTC_Held*$A37/1000000+'Net NAV'!B19-BTC_NAV_Now))=0,"wiped out",Charges_Total/MAX(0,G$33*(BTC_Held*$A37/1000000+'Net NAV'!B19-BTC_NAV_Now))))</x:f>
        <x:v>0.021220546152379262</x:v>
      </x:c>
      <x:c r="H37" s="118" t="n">
        <x:f>IF(AND(Gate_On="Yes",H$33&lt;mNAV_Floor),"gate",IF(MAX(0,H$33*(BTC_Held*$A37/1000000+'Net NAV'!B19-BTC_NAV_Now))=0,"wiped out",Charges_Total/MAX(0,H$33*(BTC_Held*$A37/1000000+'Net NAV'!B19-BTC_NAV_Now))))</x:f>
        <x:v>0.016976436921903412</x:v>
      </x:c>
    </x:row>
    <x:row r="38">
      <x:c r="A38" s="46" t="n">
        <x:v>75000</x:v>
      </x:c>
      <x:c r="B38" s="118" t="str">
        <x:f>IF(AND(Gate_On="Yes",B$33&lt;mNAV_Floor),"gate",IF(MAX(0,B$33*(BTC_Held*$A38/1000000+'Net NAV'!B19-BTC_NAV_Now))=0,"wiped out",Charges_Total/MAX(0,B$33*(BTC_Held*$A38/1000000+'Net NAV'!B19-BTC_NAV_Now))))</x:f>
        <x:v>gate</x:v>
      </x:c>
      <x:c r="C38" s="118" t="str">
        <x:f>IF(AND(Gate_On="Yes",C$33&lt;mNAV_Floor),"gate",IF(MAX(0,C$33*(BTC_Held*$A38/1000000+'Net NAV'!B19-BTC_NAV_Now))=0,"wiped out",Charges_Total/MAX(0,C$33*(BTC_Held*$A38/1000000+'Net NAV'!B19-BTC_NAV_Now))))</x:f>
        <x:v>gate</x:v>
      </x:c>
      <x:c r="D38" s="118" t="n">
        <x:f>IF(AND(Gate_On="Yes",D$33&lt;mNAV_Floor),"gate",IF(MAX(0,D$33*(BTC_Held*$A38/1000000+'Net NAV'!B19-BTC_NAV_Now))=0,"wiped out",Charges_Total/MAX(0,D$33*(BTC_Held*$A38/1000000+'Net NAV'!B19-BTC_NAV_Now))))</x:f>
        <x:v>0.03152582107170004</x:v>
      </x:c>
      <x:c r="E38" s="118" t="n">
        <x:f>IF(AND(Gate_On="Yes",E$33&lt;mNAV_Floor),"gate",IF(MAX(0,E$33*(BTC_Held*$A38/1000000+'Net NAV'!B19-BTC_NAV_Now))=0,"wiped out",Charges_Total/MAX(0,E$33*(BTC_Held*$A38/1000000+'Net NAV'!B19-BTC_NAV_Now))))</x:f>
        <x:v>0.02522065685736003</x:v>
      </x:c>
      <x:c r="F38" s="118" t="n">
        <x:f>IF(AND(Gate_On="Yes",F$33&lt;mNAV_Floor),"gate",IF(MAX(0,F$33*(BTC_Held*$A38/1000000+'Net NAV'!B19-BTC_NAV_Now))=0,"wiped out",Charges_Total/MAX(0,F$33*(BTC_Held*$A38/1000000+'Net NAV'!B19-BTC_NAV_Now))))</x:f>
        <x:v>0.021017214047800027</x:v>
      </x:c>
      <x:c r="G38" s="118" t="n">
        <x:f>IF(AND(Gate_On="Yes",G$33&lt;mNAV_Floor),"gate",IF(MAX(0,G$33*(BTC_Held*$A38/1000000+'Net NAV'!B19-BTC_NAV_Now))=0,"wiped out",Charges_Total/MAX(0,G$33*(BTC_Held*$A38/1000000+'Net NAV'!B19-BTC_NAV_Now))))</x:f>
        <x:v>0.01576291053585002</x:v>
      </x:c>
      <x:c r="H38" s="118" t="n">
        <x:f>IF(AND(Gate_On="Yes",H$33&lt;mNAV_Floor),"gate",IF(MAX(0,H$33*(BTC_Held*$A38/1000000+'Net NAV'!B19-BTC_NAV_Now))=0,"wiped out",Charges_Total/MAX(0,H$33*(BTC_Held*$A38/1000000+'Net NAV'!B19-BTC_NAV_Now))))</x:f>
        <x:v>0.012610328428680016</x:v>
      </x:c>
    </x:row>
    <x:row r="39">
      <x:c r="A39" s="46" t="n">
        <x:v>100000</x:v>
      </x:c>
      <x:c r="B39" s="118" t="str">
        <x:f>IF(AND(Gate_On="Yes",B$33&lt;mNAV_Floor),"gate",IF(MAX(0,B$33*(BTC_Held*$A39/1000000+'Net NAV'!B19-BTC_NAV_Now))=0,"wiped out",Charges_Total/MAX(0,B$33*(BTC_Held*$A39/1000000+'Net NAV'!B19-BTC_NAV_Now))))</x:f>
        <x:v>gate</x:v>
      </x:c>
      <x:c r="C39" s="118" t="str">
        <x:f>IF(AND(Gate_On="Yes",C$33&lt;mNAV_Floor),"gate",IF(MAX(0,C$33*(BTC_Held*$A39/1000000+'Net NAV'!B19-BTC_NAV_Now))=0,"wiped out",Charges_Total/MAX(0,C$33*(BTC_Held*$A39/1000000+'Net NAV'!B19-BTC_NAV_Now))))</x:f>
        <x:v>gate</x:v>
      </x:c>
      <x:c r="D39" s="118" t="n">
        <x:f>IF(AND(Gate_On="Yes",D$33&lt;mNAV_Floor),"gate",IF(MAX(0,D$33*(BTC_Held*$A39/1000000+'Net NAV'!B19-BTC_NAV_Now))=0,"wiped out",Charges_Total/MAX(0,D$33*(BTC_Held*$A39/1000000+'Net NAV'!B19-BTC_NAV_Now))))</x:f>
        <x:v>0.022066954057604636</x:v>
      </x:c>
      <x:c r="E39" s="118" t="n">
        <x:f>IF(AND(Gate_On="Yes",E$33&lt;mNAV_Floor),"gate",IF(MAX(0,E$33*(BTC_Held*$A39/1000000+'Net NAV'!B19-BTC_NAV_Now))=0,"wiped out",Charges_Total/MAX(0,E$33*(BTC_Held*$A39/1000000+'Net NAV'!B19-BTC_NAV_Now))))</x:f>
        <x:v>0.01765356324608371</x:v>
      </x:c>
      <x:c r="F39" s="118" t="n">
        <x:f>IF(AND(Gate_On="Yes",F$33&lt;mNAV_Floor),"gate",IF(MAX(0,F$33*(BTC_Held*$A39/1000000+'Net NAV'!B19-BTC_NAV_Now))=0,"wiped out",Charges_Total/MAX(0,F$33*(BTC_Held*$A39/1000000+'Net NAV'!B19-BTC_NAV_Now))))</x:f>
        <x:v>0.014711302705069757</x:v>
      </x:c>
      <x:c r="G39" s="118" t="n">
        <x:f>IF(AND(Gate_On="Yes",G$33&lt;mNAV_Floor),"gate",IF(MAX(0,G$33*(BTC_Held*$A39/1000000+'Net NAV'!B19-BTC_NAV_Now))=0,"wiped out",Charges_Total/MAX(0,G$33*(BTC_Held*$A39/1000000+'Net NAV'!B19-BTC_NAV_Now))))</x:f>
        <x:v>0.011033477028802318</x:v>
      </x:c>
      <x:c r="H39" s="118" t="n">
        <x:f>IF(AND(Gate_On="Yes",H$33&lt;mNAV_Floor),"gate",IF(MAX(0,H$33*(BTC_Held*$A39/1000000+'Net NAV'!B19-BTC_NAV_Now))=0,"wiped out",Charges_Total/MAX(0,H$33*(BTC_Held*$A39/1000000+'Net NAV'!B19-BTC_NAV_Now))))</x:f>
        <x:v>0.008826781623041855</x:v>
      </x:c>
    </x:row>
    <x:row r="40">
      <x:c r="A40" s="46" t="n">
        <x:v>125000</x:v>
      </x:c>
      <x:c r="B40" s="118" t="str">
        <x:f>IF(AND(Gate_On="Yes",B$33&lt;mNAV_Floor),"gate",IF(MAX(0,B$33*(BTC_Held*$A40/1000000+'Net NAV'!B19-BTC_NAV_Now))=0,"wiped out",Charges_Total/MAX(0,B$33*(BTC_Held*$A40/1000000+'Net NAV'!B19-BTC_NAV_Now))))</x:f>
        <x:v>gate</x:v>
      </x:c>
      <x:c r="C40" s="118" t="str">
        <x:f>IF(AND(Gate_On="Yes",C$33&lt;mNAV_Floor),"gate",IF(MAX(0,C$33*(BTC_Held*$A40/1000000+'Net NAV'!B19-BTC_NAV_Now))=0,"wiped out",Charges_Total/MAX(0,C$33*(BTC_Held*$A40/1000000+'Net NAV'!B19-BTC_NAV_Now))))</x:f>
        <x:v>gate</x:v>
      </x:c>
      <x:c r="D40" s="118" t="n">
        <x:f>IF(AND(Gate_On="Yes",D$33&lt;mNAV_Floor),"gate",IF(MAX(0,D$33*(BTC_Held*$A40/1000000+'Net NAV'!B19-BTC_NAV_Now))=0,"wiped out",Charges_Total/MAX(0,D$33*(BTC_Held*$A40/1000000+'Net NAV'!B19-BTC_NAV_Now))))</x:f>
        <x:v>0.01697411588838171</x:v>
      </x:c>
      <x:c r="E40" s="118" t="n">
        <x:f>IF(AND(Gate_On="Yes",E$33&lt;mNAV_Floor),"gate",IF(MAX(0,E$33*(BTC_Held*$A40/1000000+'Net NAV'!B19-BTC_NAV_Now))=0,"wiped out",Charges_Total/MAX(0,E$33*(BTC_Held*$A40/1000000+'Net NAV'!B19-BTC_NAV_Now))))</x:f>
        <x:v>0.013579292710705368</x:v>
      </x:c>
      <x:c r="F40" s="118" t="n">
        <x:f>IF(AND(Gate_On="Yes",F$33&lt;mNAV_Floor),"gate",IF(MAX(0,F$33*(BTC_Held*$A40/1000000+'Net NAV'!B19-BTC_NAV_Now))=0,"wiped out",Charges_Total/MAX(0,F$33*(BTC_Held*$A40/1000000+'Net NAV'!B19-BTC_NAV_Now))))</x:f>
        <x:v>0.011316077258921139</x:v>
      </x:c>
      <x:c r="G40" s="118" t="n">
        <x:f>IF(AND(Gate_On="Yes",G$33&lt;mNAV_Floor),"gate",IF(MAX(0,G$33*(BTC_Held*$A40/1000000+'Net NAV'!B19-BTC_NAV_Now))=0,"wiped out",Charges_Total/MAX(0,G$33*(BTC_Held*$A40/1000000+'Net NAV'!B19-BTC_NAV_Now))))</x:f>
        <x:v>0.008487057944190855</x:v>
      </x:c>
      <x:c r="H40" s="118" t="n">
        <x:f>IF(AND(Gate_On="Yes",H$33&lt;mNAV_Floor),"gate",IF(MAX(0,H$33*(BTC_Held*$A40/1000000+'Net NAV'!B19-BTC_NAV_Now))=0,"wiped out",Charges_Total/MAX(0,H$33*(BTC_Held*$A40/1000000+'Net NAV'!B19-BTC_NAV_Now))))</x:f>
        <x:v>0.006789646355352684</x:v>
      </x:c>
    </x:row>
    <x:row r="41">
      <x:c r="A41" s="46" t="n">
        <x:v>150000</x:v>
      </x:c>
      <x:c r="B41" s="118" t="str">
        <x:f>IF(AND(Gate_On="Yes",B$33&lt;mNAV_Floor),"gate",IF(MAX(0,B$33*(BTC_Held*$A41/1000000+'Net NAV'!B19-BTC_NAV_Now))=0,"wiped out",Charges_Total/MAX(0,B$33*(BTC_Held*$A41/1000000+'Net NAV'!B19-BTC_NAV_Now))))</x:f>
        <x:v>gate</x:v>
      </x:c>
      <x:c r="C41" s="118" t="str">
        <x:f>IF(AND(Gate_On="Yes",C$33&lt;mNAV_Floor),"gate",IF(MAX(0,C$33*(BTC_Held*$A41/1000000+'Net NAV'!B19-BTC_NAV_Now))=0,"wiped out",Charges_Total/MAX(0,C$33*(BTC_Held*$A41/1000000+'Net NAV'!B19-BTC_NAV_Now))))</x:f>
        <x:v>gate</x:v>
      </x:c>
      <x:c r="D41" s="118" t="n">
        <x:f>IF(AND(Gate_On="Yes",D$33&lt;mNAV_Floor),"gate",IF(MAX(0,D$33*(BTC_Held*$A41/1000000+'Net NAV'!B19-BTC_NAV_Now))=0,"wiped out",Charges_Total/MAX(0,D$33*(BTC_Held*$A41/1000000+'Net NAV'!B19-BTC_NAV_Now))))</x:f>
        <x:v>0.013791233465600333</x:v>
      </x:c>
      <x:c r="E41" s="118" t="n">
        <x:f>IF(AND(Gate_On="Yes",E$33&lt;mNAV_Floor),"gate",IF(MAX(0,E$33*(BTC_Held*$A41/1000000+'Net NAV'!B19-BTC_NAV_Now))=0,"wiped out",Charges_Total/MAX(0,E$33*(BTC_Held*$A41/1000000+'Net NAV'!B19-BTC_NAV_Now))))</x:f>
        <x:v>0.011032986772480267</x:v>
      </x:c>
      <x:c r="F41" s="118" t="n">
        <x:f>IF(AND(Gate_On="Yes",F$33&lt;mNAV_Floor),"gate",IF(MAX(0,F$33*(BTC_Held*$A41/1000000+'Net NAV'!B19-BTC_NAV_Now))=0,"wiped out",Charges_Total/MAX(0,F$33*(BTC_Held*$A41/1000000+'Net NAV'!B19-BTC_NAV_Now))))</x:f>
        <x:v>0.009194155643733555</x:v>
      </x:c>
      <x:c r="G41" s="118" t="n">
        <x:f>IF(AND(Gate_On="Yes",G$33&lt;mNAV_Floor),"gate",IF(MAX(0,G$33*(BTC_Held*$A41/1000000+'Net NAV'!B19-BTC_NAV_Now))=0,"wiped out",Charges_Total/MAX(0,G$33*(BTC_Held*$A41/1000000+'Net NAV'!B19-BTC_NAV_Now))))</x:f>
        <x:v>0.006895616732800166</x:v>
      </x:c>
      <x:c r="H41" s="118" t="n">
        <x:f>IF(AND(Gate_On="Yes",H$33&lt;mNAV_Floor),"gate",IF(MAX(0,H$33*(BTC_Held*$A41/1000000+'Net NAV'!B19-BTC_NAV_Now))=0,"wiped out",Charges_Total/MAX(0,H$33*(BTC_Held*$A41/1000000+'Net NAV'!B19-BTC_NAV_Now))))</x:f>
        <x:v>0.0055164933862401335</x:v>
      </x:c>
    </x:row>
    <x:row r="42">
      <x:c r="A42" s="46" t="n">
        <x:v>200000</x:v>
      </x:c>
      <x:c r="B42" s="118" t="str">
        <x:f>IF(AND(Gate_On="Yes",B$33&lt;mNAV_Floor),"gate",IF(MAX(0,B$33*(BTC_Held*$A42/1000000+'Net NAV'!B19-BTC_NAV_Now))=0,"wiped out",Charges_Total/MAX(0,B$33*(BTC_Held*$A42/1000000+'Net NAV'!B19-BTC_NAV_Now))))</x:f>
        <x:v>gate</x:v>
      </x:c>
      <x:c r="C42" s="118" t="str">
        <x:f>IF(AND(Gate_On="Yes",C$33&lt;mNAV_Floor),"gate",IF(MAX(0,C$33*(BTC_Held*$A42/1000000+'Net NAV'!B19-BTC_NAV_Now))=0,"wiped out",Charges_Total/MAX(0,C$33*(BTC_Held*$A42/1000000+'Net NAV'!B19-BTC_NAV_Now))))</x:f>
        <x:v>gate</x:v>
      </x:c>
      <x:c r="D42" s="118" t="n">
        <x:f>IF(AND(Gate_On="Yes",D$33&lt;mNAV_Floor),"gate",IF(MAX(0,D$33*(BTC_Held*$A42/1000000+'Net NAV'!B19-BTC_NAV_Now))=0,"wiped out",Charges_Total/MAX(0,D$33*(BTC_Held*$A42/1000000+'Net NAV'!B19-BTC_NAV_Now))))</x:f>
        <x:v>0.010029785402817954</x:v>
      </x:c>
      <x:c r="E42" s="118" t="n">
        <x:f>IF(AND(Gate_On="Yes",E$33&lt;mNAV_Floor),"gate",IF(MAX(0,E$33*(BTC_Held*$A42/1000000+'Net NAV'!B19-BTC_NAV_Now))=0,"wiped out",Charges_Total/MAX(0,E$33*(BTC_Held*$A42/1000000+'Net NAV'!B19-BTC_NAV_Now))))</x:f>
        <x:v>0.008023828322254364</x:v>
      </x:c>
      <x:c r="F42" s="118" t="n">
        <x:f>IF(AND(Gate_On="Yes",F$33&lt;mNAV_Floor),"gate",IF(MAX(0,F$33*(BTC_Held*$A42/1000000+'Net NAV'!B19-BTC_NAV_Now))=0,"wiped out",Charges_Total/MAX(0,F$33*(BTC_Held*$A42/1000000+'Net NAV'!B19-BTC_NAV_Now))))</x:f>
        <x:v>0.006686523601878635</x:v>
      </x:c>
      <x:c r="G42" s="118" t="n">
        <x:f>IF(AND(Gate_On="Yes",G$33&lt;mNAV_Floor),"gate",IF(MAX(0,G$33*(BTC_Held*$A42/1000000+'Net NAV'!B19-BTC_NAV_Now))=0,"wiped out",Charges_Total/MAX(0,G$33*(BTC_Held*$A42/1000000+'Net NAV'!B19-BTC_NAV_Now))))</x:f>
        <x:v>0.005014892701408977</x:v>
      </x:c>
      <x:c r="H42" s="118" t="n">
        <x:f>IF(AND(Gate_On="Yes",H$33&lt;mNAV_Floor),"gate",IF(MAX(0,H$33*(BTC_Held*$A42/1000000+'Net NAV'!B19-BTC_NAV_Now))=0,"wiped out",Charges_Total/MAX(0,H$33*(BTC_Held*$A42/1000000+'Net NAV'!B19-BTC_NAV_Now))))</x:f>
        <x:v>0.004011914161127182</x:v>
      </x:c>
    </x:row>
    <x:row r="43">
      <x:c r="A43" s="114" t="n">
        <x:f>BTC_Spot</x:f>
        <x:v>82131</x:v>
      </x:c>
      <x:c r="B43" s="119" t="str">
        <x:f>IF(AND(Gate_On="Yes",B$33&lt;mNAV_Floor),"gate",IF(MAX(0,B$33*(BTC_Held*$A43/1000000+'Net NAV'!B19-BTC_NAV_Now))=0,"wiped out",Charges_Total/MAX(0,B$33*(BTC_Held*$A43/1000000+'Net NAV'!B19-BTC_NAV_Now))))</x:f>
        <x:v>gate</x:v>
      </x:c>
      <x:c r="C43" s="119" t="str">
        <x:f>IF(AND(Gate_On="Yes",C$33&lt;mNAV_Floor),"gate",IF(MAX(0,C$33*(BTC_Held*$A43/1000000+'Net NAV'!B19-BTC_NAV_Now))=0,"wiped out",Charges_Total/MAX(0,C$33*(BTC_Held*$A43/1000000+'Net NAV'!B19-BTC_NAV_Now))))</x:f>
        <x:v>gate</x:v>
      </x:c>
      <x:c r="D43" s="119" t="n">
        <x:f>IF(AND(Gate_On="Yes",D$33&lt;mNAV_Floor),"gate",IF(MAX(0,D$33*(BTC_Held*$A43/1000000+'Net NAV'!B19-BTC_NAV_Now))=0,"wiped out",Charges_Total/MAX(0,D$33*(BTC_Held*$A43/1000000+'Net NAV'!B19-BTC_NAV_Now))))</x:f>
        <x:v>0.02809120973666648</x:v>
      </x:c>
      <x:c r="E43" s="119" t="n">
        <x:f>IF(AND(Gate_On="Yes",E$33&lt;mNAV_Floor),"gate",IF(MAX(0,E$33*(BTC_Held*$A43/1000000+'Net NAV'!B19-BTC_NAV_Now))=0,"wiped out",Charges_Total/MAX(0,E$33*(BTC_Held*$A43/1000000+'Net NAV'!B19-BTC_NAV_Now))))</x:f>
        <x:v>0.022472967789333186</x:v>
      </x:c>
      <x:c r="F43" s="119" t="n">
        <x:f>IF(AND(Gate_On="Yes",F$33&lt;mNAV_Floor),"gate",IF(MAX(0,F$33*(BTC_Held*$A43/1000000+'Net NAV'!B19-BTC_NAV_Now))=0,"wiped out",Charges_Total/MAX(0,F$33*(BTC_Held*$A43/1000000+'Net NAV'!B19-BTC_NAV_Now))))</x:f>
        <x:v>0.018727473157777653</x:v>
      </x:c>
      <x:c r="G43" s="119" t="n">
        <x:f>IF(AND(Gate_On="Yes",G$33&lt;mNAV_Floor),"gate",IF(MAX(0,G$33*(BTC_Held*$A43/1000000+'Net NAV'!B19-BTC_NAV_Now))=0,"wiped out",Charges_Total/MAX(0,G$33*(BTC_Held*$A43/1000000+'Net NAV'!B19-BTC_NAV_Now))))</x:f>
        <x:v>0.01404560486833324</x:v>
      </x:c>
      <x:c r="H43" s="119" t="n">
        <x:f>IF(AND(Gate_On="Yes",H$33&lt;mNAV_Floor),"gate",IF(MAX(0,H$33*(BTC_Held*$A43/1000000+'Net NAV'!B19-BTC_NAV_Now))=0,"wiped out",Charges_Total/MAX(0,H$33*(BTC_Held*$A43/1000000+'Net NAV'!B19-BTC_NAV_Now))))</x:f>
        <x:v>0.011236483894666593</x:v>
      </x:c>
    </x:row>
    <x:row r="44">
      <x:c r="A44" s="26" t="inlineStr">
        <x:is>
          <x:t xml:space="preserve">Charges / implied market cap. 'gate' = no common sales below the floor. Amber: 10% or more of the company in one year.</x:t>
        </x:is>
      </x:c>
    </x:row>
    <x:row r="46">
      <x:c r="A46" s="40" t="inlineStr">
        <x:is>
          <x:t xml:space="preserve">Grid 4. Bitcoin as the last source (does not depend on mNAV)</x:t>
        </x:is>
      </x:c>
      <x:c r="B46" s="41" t="n"/>
      <x:c r="C46" s="41" t="n"/>
      <x:c r="D46" s="41" t="n"/>
      <x:c r="E46" s="41" t="n"/>
      <x:c r="F46" s="41" t="n"/>
    </x:row>
    <x:row r="47" ht="30" customHeight="1">
      <x:c r="A47" s="8" t="inlineStr">
        <x:is>
          <x:t xml:space="preserve">BTC price</x:t>
        </x:is>
      </x:c>
      <x:c r="B47" s="9" t="inlineStr">
        <x:is>
          <x:t xml:space="preserve">BTC NAV ($m)</x:t>
        </x:is>
      </x:c>
      <x:c r="C47" s="9" t="inlineStr">
        <x:is>
          <x:t xml:space="preserve">BTC cover (x)</x:t>
        </x:is>
      </x:c>
      <x:c r="D47" s="9" t="inlineStr">
        <x:is>
          <x:t xml:space="preserve">BTC for 1 yr of charges</x:t>
        </x:is>
      </x:c>
      <x:c r="E47" s="9" t="inlineStr">
        <x:is>
          <x:t xml:space="preserve">% of holdings</x:t>
        </x:is>
      </x:c>
      <x:c r="F47" s="9" t="inlineStr">
        <x:is>
          <x:t xml:space="preserve">Years BTC alone funds</x:t>
        </x:is>
      </x:c>
    </x:row>
    <x:row r="48">
      <x:c r="A48" s="46" t="n">
        <x:v>30000</x:v>
      </x:c>
      <x:c r="B48" s="113" t="n">
        <x:f>BTC_Held*A48/1000000</x:f>
        <x:v>25447.5</x:v>
      </x:c>
      <x:c r="C48" s="120" t="n">
        <x:f>B48/Claims_Total</x:f>
        <x:v>1.2411770165417255</x:v>
      </x:c>
      <x:c r="D48" s="121" t="n">
        <x:f>Charges_Total*1000000/A48</x:f>
        <x:v>51989.10006666666</x:v>
      </x:c>
      <x:c r="E48" s="122" t="n">
        <x:f>D48/BTC_Held</x:f>
        <x:v>0.06128983208566656</x:v>
      </x:c>
      <x:c r="F48" s="123" t="n">
        <x:f>B48/Charges_Total</x:f>
        <x:v>16.31592004693815</x:v>
      </x:c>
    </x:row>
    <x:row r="49">
      <x:c r="A49" s="46" t="n">
        <x:v>40000</x:v>
      </x:c>
      <x:c r="B49" s="113" t="n">
        <x:f>BTC_Held*A49/1000000</x:f>
        <x:v>33930</x:v>
      </x:c>
      <x:c r="C49" s="120" t="n">
        <x:f>B49/Claims_Total</x:f>
        <x:v>1.6549026887223008</x:v>
      </x:c>
      <x:c r="D49" s="121" t="n">
        <x:f>Charges_Total*1000000/A49</x:f>
        <x:v>38991.82504999999</x:v>
      </x:c>
      <x:c r="E49" s="122" t="n">
        <x:f>D49/BTC_Held</x:f>
        <x:v>0.045967374064249916</x:v>
      </x:c>
      <x:c r="F49" s="123" t="n">
        <x:f>B49/Charges_Total</x:f>
        <x:v>21.754560062584197</x:v>
      </x:c>
    </x:row>
    <x:row r="50">
      <x:c r="A50" s="46" t="n">
        <x:v>50000</x:v>
      </x:c>
      <x:c r="B50" s="113" t="n">
        <x:f>BTC_Held*A50/1000000</x:f>
        <x:v>42412.5</x:v>
      </x:c>
      <x:c r="C50" s="120" t="n">
        <x:f>B50/Claims_Total</x:f>
        <x:v>2.068628360902876</x:v>
      </x:c>
      <x:c r="D50" s="121" t="n">
        <x:f>Charges_Total*1000000/A50</x:f>
        <x:v>31193.460039999994</x:v>
      </x:c>
      <x:c r="E50" s="122" t="n">
        <x:f>D50/BTC_Held</x:f>
        <x:v>0.036773899251399934</x:v>
      </x:c>
      <x:c r="F50" s="123" t="n">
        <x:f>B50/Charges_Total</x:f>
        <x:v>27.193200078230248</x:v>
      </x:c>
    </x:row>
    <x:row r="51">
      <x:c r="A51" s="46" t="n">
        <x:v>60000</x:v>
      </x:c>
      <x:c r="B51" s="113" t="n">
        <x:f>BTC_Held*A51/1000000</x:f>
        <x:v>50895</x:v>
      </x:c>
      <x:c r="C51" s="120" t="n">
        <x:f>B51/Claims_Total</x:f>
        <x:v>2.482354033083451</x:v>
      </x:c>
      <x:c r="D51" s="121" t="n">
        <x:f>Charges_Total*1000000/A51</x:f>
        <x:v>25994.55003333333</x:v>
      </x:c>
      <x:c r="E51" s="122" t="n">
        <x:f>D51/BTC_Held</x:f>
        <x:v>0.03064491604283328</x:v>
      </x:c>
      <x:c r="F51" s="123" t="n">
        <x:f>B51/Charges_Total</x:f>
        <x:v>32.6318400938763</x:v>
      </x:c>
    </x:row>
    <x:row r="52">
      <x:c r="A52" s="46" t="n">
        <x:v>75000</x:v>
      </x:c>
      <x:c r="B52" s="113" t="n">
        <x:f>BTC_Held*A52/1000000</x:f>
        <x:v>63618.75</x:v>
      </x:c>
      <x:c r="C52" s="120" t="n">
        <x:f>B52/Claims_Total</x:f>
        <x:v>3.102942541354314</x:v>
      </x:c>
      <x:c r="D52" s="121" t="n">
        <x:f>Charges_Total*1000000/A52</x:f>
        <x:v>20795.640026666664</x:v>
      </x:c>
      <x:c r="E52" s="122" t="n">
        <x:f>D52/BTC_Held</x:f>
        <x:v>0.024515932834266625</x:v>
      </x:c>
      <x:c r="F52" s="123" t="n">
        <x:f>B52/Charges_Total</x:f>
        <x:v>40.78980011734537</x:v>
      </x:c>
    </x:row>
    <x:row r="53">
      <x:c r="A53" s="46" t="n">
        <x:v>100000</x:v>
      </x:c>
      <x:c r="B53" s="113" t="n">
        <x:f>BTC_Held*A53/1000000</x:f>
        <x:v>84825</x:v>
      </x:c>
      <x:c r="C53" s="120" t="n">
        <x:f>B53/Claims_Total</x:f>
        <x:v>4.137256721805752</x:v>
      </x:c>
      <x:c r="D53" s="121" t="n">
        <x:f>Charges_Total*1000000/A53</x:f>
        <x:v>15596.730019999997</x:v>
      </x:c>
      <x:c r="E53" s="122" t="n">
        <x:f>D53/BTC_Held</x:f>
        <x:v>0.018386949625699967</x:v>
      </x:c>
      <x:c r="F53" s="123" t="n">
        <x:f>B53/Charges_Total</x:f>
        <x:v>54.386400156460496</x:v>
      </x:c>
    </x:row>
    <x:row r="54">
      <x:c r="A54" s="46" t="n">
        <x:v>125000</x:v>
      </x:c>
      <x:c r="B54" s="113" t="n">
        <x:f>BTC_Held*A54/1000000</x:f>
        <x:v>106031.25</x:v>
      </x:c>
      <x:c r="C54" s="120" t="n">
        <x:f>B54/Claims_Total</x:f>
        <x:v>5.17157090225719</x:v>
      </x:c>
      <x:c r="D54" s="121" t="n">
        <x:f>Charges_Total*1000000/A54</x:f>
        <x:v>12477.384015999998</x:v>
      </x:c>
      <x:c r="E54" s="122" t="n">
        <x:f>D54/BTC_Held</x:f>
        <x:v>0.014709559700559973</x:v>
      </x:c>
      <x:c r="F54" s="123" t="n">
        <x:f>B54/Charges_Total</x:f>
        <x:v>67.98300019557563</x:v>
      </x:c>
    </x:row>
    <x:row r="55">
      <x:c r="A55" s="46" t="n">
        <x:v>150000</x:v>
      </x:c>
      <x:c r="B55" s="113" t="n">
        <x:f>BTC_Held*A55/1000000</x:f>
        <x:v>127237.5</x:v>
      </x:c>
      <x:c r="C55" s="120" t="n">
        <x:f>B55/Claims_Total</x:f>
        <x:v>6.205885082708628</x:v>
      </x:c>
      <x:c r="D55" s="121" t="n">
        <x:f>Charges_Total*1000000/A55</x:f>
        <x:v>10397.820013333332</x:v>
      </x:c>
      <x:c r="E55" s="122" t="n">
        <x:f>D55/BTC_Held</x:f>
        <x:v>0.012257966417133313</x:v>
      </x:c>
      <x:c r="F55" s="123" t="n">
        <x:f>B55/Charges_Total</x:f>
        <x:v>81.57960023469074</x:v>
      </x:c>
    </x:row>
    <x:row r="56">
      <x:c r="A56" s="46" t="n">
        <x:v>200000</x:v>
      </x:c>
      <x:c r="B56" s="113" t="n">
        <x:f>BTC_Held*A56/1000000</x:f>
        <x:v>169650</x:v>
      </x:c>
      <x:c r="C56" s="120" t="n">
        <x:f>B56/Claims_Total</x:f>
        <x:v>8.274513443611504</x:v>
      </x:c>
      <x:c r="D56" s="121" t="n">
        <x:f>Charges_Total*1000000/A56</x:f>
        <x:v>7798.365009999999</x:v>
      </x:c>
      <x:c r="E56" s="122" t="n">
        <x:f>D56/BTC_Held</x:f>
        <x:v>0.009193474812849984</x:v>
      </x:c>
      <x:c r="F56" s="123" t="n">
        <x:f>B56/Charges_Total</x:f>
        <x:v>108.77280031292099</x:v>
      </x:c>
    </x:row>
    <x:row r="57">
      <x:c r="A57" s="114" t="n">
        <x:f>BTC_Spot</x:f>
        <x:v>82131</x:v>
      </x:c>
      <x:c r="B57" s="113" t="n">
        <x:f>BTC_Held*A57/1000000</x:f>
        <x:v>69667.62075</x:v>
      </x:c>
      <x:c r="C57" s="120" t="n">
        <x:f>B57/Claims_Total</x:f>
        <x:v>3.397970318186282</x:v>
      </x:c>
      <x:c r="D57" s="121" t="n">
        <x:f>Charges_Total*1000000/A57</x:f>
        <x:v>18990.064677162092</x:v>
      </x:c>
      <x:c r="E57" s="122" t="n">
        <x:f>D57/BTC_Held</x:f>
        <x:v>0.0223873441522689</x:v>
      </x:c>
      <x:c r="F57" s="123" t="n">
        <x:f>B57/Charges_Total</x:f>
        <x:v>44.668094312502575</x:v>
      </x:c>
    </x:row>
    <x:row r="60">
      <x:c r="A60" s="40" t="inlineStr">
        <x:is>
          <x:t xml:space="preserve">Grid 5. Months the Reserve alone covers, by STRC rate and EUR/USD (other charges at live values)</x:t>
        </x:is>
      </x:c>
      <x:c r="B60" s="41" t="n"/>
      <x:c r="C60" s="41" t="n"/>
      <x:c r="D60" s="41" t="n"/>
      <x:c r="E60" s="41" t="n"/>
    </x:row>
    <x:row r="61">
      <x:c r="A61" s="2" t="inlineStr">
        <x:is>
          <x:t xml:space="preserve">STRC rate ↓   EUR/USD →</x:t>
        </x:is>
      </x:c>
      <x:c r="B61" s="124" t="n">
        <x:v>1</x:v>
      </x:c>
      <x:c r="C61" s="124" t="n">
        <x:v>1.1</x:v>
      </x:c>
      <x:c r="D61" s="124" t="n">
        <x:v>1.2</x:v>
      </x:c>
      <x:c r="E61" s="124" t="n">
        <x:v>1.3</x:v>
      </x:c>
    </x:row>
    <x:row r="62">
      <x:c r="A62" s="56" t="n">
        <x:v>0.1</x:v>
      </x:c>
      <x:c r="B62" s="125" t="n">
        <x:f>Reserve_Live/(Charges_Total-Div_STRC_Cash-Div_STRE_Cash+STRC_Notional_Now*$A62+Notional_STRE_EUR*B$61*Rate_STRE)*12</x:f>
        <x:v>42.616384611357425</x:v>
      </x:c>
      <x:c r="C62" s="125" t="n">
        <x:f>Reserve_Live/(Charges_Total-Div_STRC_Cash-Div_STRE_Cash+STRC_Notional_Now*$A62+Notional_STRE_EUR*C$61*Rate_STRE)*12</x:f>
        <x:v>42.377377230834945</x:v>
      </x:c>
      <x:c r="D62" s="125" t="n">
        <x:f>Reserve_Live/(Charges_Total-Div_STRC_Cash-Div_STRE_Cash+STRC_Notional_Now*$A62+Notional_STRE_EUR*D$61*Rate_STRE)*12</x:f>
        <x:v>42.14103577052877</x:v>
      </x:c>
      <x:c r="E62" s="125" t="n">
        <x:f>Reserve_Live/(Charges_Total-Div_STRC_Cash-Div_STRE_Cash+STRC_Notional_Now*$A62+Notional_STRE_EUR*E$61*Rate_STRE)*12</x:f>
        <x:v>41.907315873774195</x:v>
      </x:c>
    </x:row>
    <x:row r="63">
      <x:c r="A63" s="56" t="n">
        <x:v>0.11</x:v>
      </x:c>
      <x:c r="B63" s="125" t="n">
        <x:f>Reserve_Live/(Charges_Total-Div_STRC_Cash-Div_STRE_Cash+STRC_Notional_Now*$A63+Notional_STRE_EUR*B$61*Rate_STRE)*12</x:f>
        <x:v>40.053601348979036</x:v>
      </x:c>
      <x:c r="C63" s="125" t="n">
        <x:f>Reserve_Live/(Charges_Total-Div_STRC_Cash-Div_STRE_Cash+STRC_Notional_Now*$A63+Notional_STRE_EUR*C$61*Rate_STRE)*12</x:f>
        <x:v>39.842404349327495</x:v>
      </x:c>
      <x:c r="D63" s="125" t="n">
        <x:f>Reserve_Live/(Charges_Total-Div_STRC_Cash-Div_STRE_Cash+STRC_Notional_Now*$A63+Notional_STRE_EUR*D$61*Rate_STRE)*12</x:f>
        <x:v>39.633422891513554</x:v>
      </x:c>
      <x:c r="E63" s="125" t="n">
        <x:f>Reserve_Live/(Charges_Total-Div_STRC_Cash-Div_STRE_Cash+STRC_Notional_Now*$A63+Notional_STRE_EUR*E$61*Rate_STRE)*12</x:f>
        <x:v>39.42662229455272</x:v>
      </x:c>
    </x:row>
    <x:row r="64">
      <x:c r="A64" s="56" t="n">
        <x:v>0.12</x:v>
      </x:c>
      <x:c r="B64" s="125" t="n">
        <x:f>Reserve_Live/(Charges_Total-Div_STRC_Cash-Div_STRE_Cash+STRC_Notional_Now*$A64+Notional_STRE_EUR*B$61*Rate_STRE)*12</x:f>
        <x:v>37.78156527646843</x:v>
      </x:c>
      <x:c r="C64" s="125" t="n">
        <x:f>Reserve_Live/(Charges_Total-Div_STRC_Cash-Div_STRE_Cash+STRC_Notional_Now*$A64+Notional_STRE_EUR*C$61*Rate_STRE)*12</x:f>
        <x:v>37.59359273499507</x:v>
      </x:c>
      <x:c r="D64" s="125" t="n">
        <x:f>Reserve_Live/(Charges_Total-Div_STRC_Cash-Div_STRE_Cash+STRC_Notional_Now*$A64+Notional_STRE_EUR*D$61*Rate_STRE)*12</x:f>
        <x:v>37.407481352670786</x:v>
      </x:c>
      <x:c r="E64" s="125" t="n">
        <x:f>Reserve_Live/(Charges_Total-Div_STRC_Cash-Div_STRE_Cash+STRC_Notional_Now*$A64+Notional_STRE_EUR*E$61*Rate_STRE)*12</x:f>
        <x:v>37.2232036240206</x:v>
      </x:c>
    </x:row>
    <x:row r="65">
      <x:c r="A65" s="56" t="n">
        <x:v>0.13</x:v>
      </x:c>
      <x:c r="B65" s="125" t="n">
        <x:f>Reserve_Live/(Charges_Total-Div_STRC_Cash-Div_STRE_Cash+STRC_Notional_Now*$A65+Notional_STRE_EUR*B$61*Rate_STRE)*12</x:f>
        <x:v>35.75345455177401</x:v>
      </x:c>
      <x:c r="C65" s="125" t="n">
        <x:f>Reserve_Live/(Charges_Total-Div_STRC_Cash-Div_STRE_Cash+STRC_Notional_Now*$A65+Notional_STRE_EUR*C$61*Rate_STRE)*12</x:f>
        <x:v>35.585076087722875</x:v>
      </x:c>
      <x:c r="D65" s="125" t="n">
        <x:f>Reserve_Live/(Charges_Total-Div_STRC_Cash-Div_STRE_Cash+STRC_Notional_Now*$A65+Notional_STRE_EUR*D$61*Rate_STRE)*12</x:f>
        <x:v>35.41827612369671</x:v>
      </x:c>
      <x:c r="E65" s="125" t="n">
        <x:f>Reserve_Live/(Charges_Total-Div_STRC_Cash-Div_STRE_Cash+STRC_Notional_Now*$A65+Notional_STRE_EUR*E$61*Rate_STRE)*12</x:f>
        <x:v>35.253032566274705</x:v>
      </x:c>
    </x:row>
    <x:row r="66">
      <x:c r="A66" s="56" t="n">
        <x:v>0.14</x:v>
      </x:c>
      <x:c r="B66" s="125" t="n">
        <x:f>Reserve_Live/(Charges_Total-Div_STRC_Cash-Div_STRE_Cash+STRC_Notional_Now*$A66+Notional_STRE_EUR*B$61*Rate_STRE)*12</x:f>
        <x:v>33.93198871971828</x:v>
      </x:c>
      <x:c r="C66" s="125" t="n">
        <x:f>Reserve_Live/(Charges_Total-Div_STRC_Cash-Div_STRE_Cash+STRC_Notional_Now*$A66+Notional_STRE_EUR*C$61*Rate_STRE)*12</x:f>
        <x:v>33.78029298824882</x:v>
      </x:c>
      <x:c r="D66" s="125" t="n">
        <x:f>Reserve_Live/(Charges_Total-Div_STRC_Cash-Div_STRE_Cash+STRC_Notional_Now*$A66+Notional_STRE_EUR*D$61*Rate_STRE)*12</x:f>
        <x:v>33.62994755650877</x:v>
      </x:c>
      <x:c r="E66" s="125" t="n">
        <x:f>Reserve_Live/(Charges_Total-Div_STRC_Cash-Div_STRE_Cash+STRC_Notional_Now*$A66+Notional_STRE_EUR*E$61*Rate_STRE)*12</x:f>
        <x:v>33.480934475110345</x:v>
      </x:c>
    </x:row>
    <x:row r="67">
      <x:c r="A67" s="56" t="n">
        <x:v>0.15</x:v>
      </x:c>
      <x:c r="B67" s="125" t="n">
        <x:f>Reserve_Live/(Charges_Total-Div_STRC_Cash-Div_STRE_Cash+STRC_Notional_Now*$A67+Notional_STRE_EUR*B$61*Rate_STRE)*12</x:f>
        <x:v>32.2871160909724</x:v>
      </x:c>
      <x:c r="C67" s="125" t="n">
        <x:f>Reserve_Live/(Charges_Total-Div_STRC_Cash-Div_STRE_Cash+STRC_Notional_Now*$A67+Notional_STRE_EUR*C$61*Rate_STRE)*12</x:f>
        <x:v>32.14974119677939</x:v>
      </x:c>
      <x:c r="D67" s="125" t="n">
        <x:f>Reserve_Live/(Charges_Total-Div_STRC_Cash-Div_STRE_Cash+STRC_Notional_Now*$A67+Notional_STRE_EUR*D$61*Rate_STRE)*12</x:f>
        <x:v>32.01353035241299</x:v>
      </x:c>
      <x:c r="E67" s="125" t="n">
        <x:f>Reserve_Live/(Charges_Total-Div_STRC_Cash-Div_STRE_Cash+STRC_Notional_Now*$A67+Notional_STRE_EUR*E$61*Rate_STRE)*12</x:f>
        <x:v>31.878468824882557</x:v>
      </x:c>
    </x:row>
    <x:row r="68">
      <x:c r="A68" s="26" t="inlineStr">
        <x:is>
          <x:t xml:space="preserve">Each point of STRC rate moves annual charges by 1% of STRC notional. EUR/USD only moves STRE.</x:t>
        </x:is>
      </x:c>
    </x:row>
    <x:row r="69">
      <x:c r="A69" s="26" t="inlineStr">
        <x:is>
          <x:t xml:space="preserve">Prefer a What-If Data Table? Point the Custom BTC change and mNAV at a grid's headers, select the grid with headers, then Data &gt; What-If Analysis &gt; Data Table.</x:t>
        </x:is>
      </x:c>
    </x:row>
    <x:row r="72">
      <x:c r="A72" s="40" t="inlineStr">
        <x:is>
          <x:t xml:space="preserve">Chart helper for the Dashboard: Grid 3 at four mNAV levels (gated points are left out of the lines)</x:t>
        </x:is>
      </x:c>
      <x:c r="B72" s="41" t="n"/>
      <x:c r="C72" s="41" t="n"/>
      <x:c r="D72" s="41" t="n"/>
      <x:c r="E72" s="41" t="n"/>
    </x:row>
    <x:row r="73">
      <x:c r="A73" s="3" t="inlineStr">
        <x:is>
          <x:t xml:space="preserve">BTC price</x:t>
        </x:is>
      </x:c>
      <x:c r="B73" s="3" t="str">
        <x:f>TEXT(D$33,"0.0")&amp;"x mNAV"</x:f>
        <x:v>1.0x mNAV</x:v>
      </x:c>
      <x:c r="C73" s="3" t="str">
        <x:f>TEXT(F$33,"0.0")&amp;"x mNAV"</x:f>
        <x:v>1.5x mNAV</x:v>
      </x:c>
      <x:c r="D73" s="3" t="str">
        <x:f>TEXT(G$33,"0.0")&amp;"x mNAV"</x:f>
        <x:v>2.0x mNAV</x:v>
      </x:c>
      <x:c r="E73" s="3" t="str">
        <x:f>TEXT(H$33,"0.0")&amp;"x mNAV"</x:f>
        <x:v>2.5x mNAV</x:v>
      </x:c>
    </x:row>
    <x:row r="74">
      <x:c r="A74" s="70" t="n">
        <x:f>A34</x:f>
        <x:v>30000</x:v>
      </x:c>
      <x:c r="B74" s="85" t="n">
        <x:f>IF(ISNUMBER(D34),D34,NA())</x:f>
        <x:v>0.13800431493704948</x:v>
      </x:c>
      <x:c r="C74" s="85" t="n">
        <x:f>IF(ISNUMBER(F34),F34,NA())</x:f>
        <x:v>0.09200287662469966</x:v>
      </x:c>
      <x:c r="D74" s="85" t="n">
        <x:f>IF(ISNUMBER(G34),G34,NA())</x:f>
        <x:v>0.06900215746852474</x:v>
      </x:c>
      <x:c r="E74" s="85" t="n">
        <x:f>IF(ISNUMBER(H34),H34,NA())</x:f>
        <x:v>0.055201725974819794</x:v>
      </x:c>
    </x:row>
    <x:row r="75">
      <x:c r="A75" s="70" t="n">
        <x:f>A35</x:f>
        <x:v>40000</x:v>
      </x:c>
      <x:c r="B75" s="85" t="n">
        <x:f>IF(ISNUMBER(D35),D35,NA())</x:f>
        <x:v>0.07883457114648523</x:v>
      </x:c>
      <x:c r="C75" s="85" t="n">
        <x:f>IF(ISNUMBER(F35),F35,NA())</x:f>
        <x:v>0.05255638076432349</x:v>
      </x:c>
      <x:c r="D75" s="85" t="n">
        <x:f>IF(ISNUMBER(G35),G35,NA())</x:f>
        <x:v>0.039417285573242616</x:v>
      </x:c>
      <x:c r="E75" s="85" t="n">
        <x:f>IF(ISNUMBER(H35),H35,NA())</x:f>
        <x:v>0.03153382845859409</x:v>
      </x:c>
    </x:row>
    <x:row r="76">
      <x:c r="A76" s="70" t="n">
        <x:f>A36</x:f>
        <x:v>50000</x:v>
      </x:c>
      <x:c r="B76" s="85" t="n">
        <x:f>IF(ISNUMBER(D36),D36,NA())</x:f>
        <x:v>0.05517719244931856</x:v>
      </x:c>
      <x:c r="C76" s="85" t="n">
        <x:f>IF(ISNUMBER(F36),F36,NA())</x:f>
        <x:v>0.03678479496621238</x:v>
      </x:c>
      <x:c r="D76" s="85" t="n">
        <x:f>IF(ISNUMBER(G36),G36,NA())</x:f>
        <x:v>0.02758859622465928</x:v>
      </x:c>
      <x:c r="E76" s="85" t="n">
        <x:f>IF(ISNUMBER(H36),H36,NA())</x:f>
        <x:v>0.022070876979727424</x:v>
      </x:c>
    </x:row>
    <x:row r="77">
      <x:c r="A77" s="70" t="n">
        <x:f>A37</x:f>
        <x:v>60000</x:v>
      </x:c>
      <x:c r="B77" s="85" t="n">
        <x:f>IF(ISNUMBER(D37),D37,NA())</x:f>
        <x:v>0.042441092304758524</x:v>
      </x:c>
      <x:c r="C77" s="85" t="n">
        <x:f>IF(ISNUMBER(F37),F37,NA())</x:f>
        <x:v>0.028294061536505686</x:v>
      </x:c>
      <x:c r="D77" s="85" t="n">
        <x:f>IF(ISNUMBER(G37),G37,NA())</x:f>
        <x:v>0.021220546152379262</x:v>
      </x:c>
      <x:c r="E77" s="85" t="n">
        <x:f>IF(ISNUMBER(H37),H37,NA())</x:f>
        <x:v>0.016976436921903412</x:v>
      </x:c>
    </x:row>
    <x:row r="78">
      <x:c r="A78" s="70" t="n">
        <x:f>A38</x:f>
        <x:v>75000</x:v>
      </x:c>
      <x:c r="B78" s="85" t="n">
        <x:f>IF(ISNUMBER(D38),D38,NA())</x:f>
        <x:v>0.03152582107170004</x:v>
      </x:c>
      <x:c r="C78" s="85" t="n">
        <x:f>IF(ISNUMBER(F38),F38,NA())</x:f>
        <x:v>0.021017214047800027</x:v>
      </x:c>
      <x:c r="D78" s="85" t="n">
        <x:f>IF(ISNUMBER(G38),G38,NA())</x:f>
        <x:v>0.01576291053585002</x:v>
      </x:c>
      <x:c r="E78" s="85" t="n">
        <x:f>IF(ISNUMBER(H38),H38,NA())</x:f>
        <x:v>0.012610328428680016</x:v>
      </x:c>
    </x:row>
    <x:row r="79">
      <x:c r="A79" s="70" t="n">
        <x:f>A39</x:f>
        <x:v>100000</x:v>
      </x:c>
      <x:c r="B79" s="85" t="n">
        <x:f>IF(ISNUMBER(D39),D39,NA())</x:f>
        <x:v>0.022066954057604636</x:v>
      </x:c>
      <x:c r="C79" s="85" t="n">
        <x:f>IF(ISNUMBER(F39),F39,NA())</x:f>
        <x:v>0.014711302705069757</x:v>
      </x:c>
      <x:c r="D79" s="85" t="n">
        <x:f>IF(ISNUMBER(G39),G39,NA())</x:f>
        <x:v>0.011033477028802318</x:v>
      </x:c>
      <x:c r="E79" s="85" t="n">
        <x:f>IF(ISNUMBER(H39),H39,NA())</x:f>
        <x:v>0.008826781623041855</x:v>
      </x:c>
    </x:row>
    <x:row r="80">
      <x:c r="A80" s="70" t="n">
        <x:f>A40</x:f>
        <x:v>125000</x:v>
      </x:c>
      <x:c r="B80" s="85" t="n">
        <x:f>IF(ISNUMBER(D40),D40,NA())</x:f>
        <x:v>0.01697411588838171</x:v>
      </x:c>
      <x:c r="C80" s="85" t="n">
        <x:f>IF(ISNUMBER(F40),F40,NA())</x:f>
        <x:v>0.011316077258921139</x:v>
      </x:c>
      <x:c r="D80" s="85" t="n">
        <x:f>IF(ISNUMBER(G40),G40,NA())</x:f>
        <x:v>0.008487057944190855</x:v>
      </x:c>
      <x:c r="E80" s="85" t="n">
        <x:f>IF(ISNUMBER(H40),H40,NA())</x:f>
        <x:v>0.006789646355352684</x:v>
      </x:c>
    </x:row>
    <x:row r="81">
      <x:c r="A81" s="70" t="n">
        <x:f>A41</x:f>
        <x:v>150000</x:v>
      </x:c>
      <x:c r="B81" s="85" t="n">
        <x:f>IF(ISNUMBER(D41),D41,NA())</x:f>
        <x:v>0.013791233465600333</x:v>
      </x:c>
      <x:c r="C81" s="85" t="n">
        <x:f>IF(ISNUMBER(F41),F41,NA())</x:f>
        <x:v>0.009194155643733555</x:v>
      </x:c>
      <x:c r="D81" s="85" t="n">
        <x:f>IF(ISNUMBER(G41),G41,NA())</x:f>
        <x:v>0.006895616732800166</x:v>
      </x:c>
      <x:c r="E81" s="85" t="n">
        <x:f>IF(ISNUMBER(H41),H41,NA())</x:f>
        <x:v>0.0055164933862401335</x:v>
      </x:c>
    </x:row>
    <x:row r="82">
      <x:c r="A82" s="70" t="n">
        <x:f>A42</x:f>
        <x:v>200000</x:v>
      </x:c>
      <x:c r="B82" s="85" t="n">
        <x:f>IF(ISNUMBER(D42),D42,NA())</x:f>
        <x:v>0.010029785402817954</x:v>
      </x:c>
      <x:c r="C82" s="85" t="n">
        <x:f>IF(ISNUMBER(F42),F42,NA())</x:f>
        <x:v>0.006686523601878635</x:v>
      </x:c>
      <x:c r="D82" s="85" t="n">
        <x:f>IF(ISNUMBER(G42),G42,NA())</x:f>
        <x:v>0.005014892701408977</x:v>
      </x:c>
      <x:c r="E82" s="85" t="n">
        <x:f>IF(ISNUMBER(H42),H42,NA())</x:f>
        <x:v>0.004011914161127182</x:v>
      </x:c>
    </x:row>
  </x:sheetData>
  <x:conditionalFormatting sqref="B20:H29">
    <x:cfRule type="cellIs" dxfId="3" priority="1" operator="lessThan">
      <x:formula>1</x:formula>
    </x:cfRule>
    <x:cfRule type="cellIs" dxfId="2" priority="2" operator="lessThan">
      <x:formula>Target_Years</x:formula>
    </x:cfRule>
  </x:conditionalFormatting>
  <x:conditionalFormatting sqref="B34:H43">
    <x:cfRule type="expression" dxfId="2" priority="3">
      <x:formula>AND(ISNUMBER(B34),B34&gt;=0.1)</x:formula>
    </x:cfRule>
    <x:cfRule type="expression" dxfId="6" priority="4">
      <x:formula>NOT(ISNUMBER(B34))</x:formula>
    </x:cfRule>
  </x:conditionalFormatting>
  <x:conditionalFormatting sqref="C48:C57">
    <x:cfRule type="cellIs" dxfId="3" priority="5" operator="lessThan">
      <x:formula>1</x:formula>
    </x:cfRule>
  </x:conditionalFormatting>
  <x:conditionalFormatting sqref="B62:E67">
    <x:cfRule type="cellIs" dxfId="2" priority="6" operator="lessThan">
      <x:formula>Reserve_Min_Months</x:formula>
    </x:cfRule>
  </x:conditionalFormatting>
  <x:pageMargins left="0.7" right="0.7" top="0.75" bottom="0.75" header="0.3" footer="0.3"/>
</x:worksheet>
</file>

<file path=xl/worksheets/sheet10.xml><?xml version="1.0" encoding="utf-8"?>
<x:worksheet xmlns:x="http://schemas.openxmlformats.org/spreadsheetml/2006/main">
  <x:sheetPr>
    <x:tabColor rgb="FF00B050"/>
  </x:sheetPr>
  <x:sheetViews>
    <x:sheetView showGridLines="0" workbookViewId="0"/>
  </x:sheetViews>
  <x:sheetFormatPr baseColWidth="8" defaultRowHeight="15"/>
  <x:cols>
    <x:col min="1" max="1" width="66" customWidth="1"/>
    <x:col min="2" max="2" width="16" customWidth="1"/>
    <x:col min="3" max="3" width="16" customWidth="1"/>
    <x:col min="4" max="4" width="10" customWidth="1"/>
    <x:col min="5" max="5" width="70" customWidth="1"/>
  </x:cols>
  <x:sheetData>
    <x:row r="1">
      <x:c r="A1" s="1" t="inlineStr">
        <x:is>
          <x:t xml:space="preserve">Checks</x:t>
        </x:is>
      </x:c>
    </x:row>
    <x:row r="2">
      <x:c r="A2" s="2" t="inlineStr">
        <x:is>
          <x:t xml:space="preserve">Every row should read PASS. The Dashboard shows the overall status next to the selector.</x:t>
        </x:is>
      </x:c>
    </x:row>
    <x:row r="4">
      <x:c r="A4" s="8" t="inlineStr">
        <x:is>
          <x:t xml:space="preserve">Check</x:t>
        </x:is>
      </x:c>
      <x:c r="B4" s="9" t="inlineStr">
        <x:is>
          <x:t xml:space="preserve">Value</x:t>
        </x:is>
      </x:c>
      <x:c r="C4" s="9" t="inlineStr">
        <x:is>
          <x:t xml:space="preserve">Expected</x:t>
        </x:is>
      </x:c>
      <x:c r="D4" s="9" t="inlineStr">
        <x:is>
          <x:t xml:space="preserve">Result</x:t>
        </x:is>
      </x:c>
      <x:c r="E4" s="9" t="inlineStr">
        <x:is>
          <x:t xml:space="preserve">Why it matters</x:t>
        </x:is>
      </x:c>
    </x:row>
    <x:row r="5">
      <x:c r="A5" s="42" t="inlineStr">
        <x:is>
          <x:t xml:space="preserve">Cash dividends + debt interest = total charges</x:t>
        </x:is>
      </x:c>
      <x:c r="B5" s="126" t="n">
        <x:f>Pref_Cash_Div_Total+Conv_Interest_Annual</x:f>
        <x:v>1559.6730019999995</x:v>
      </x:c>
      <x:c r="C5" s="126" t="n">
        <x:f>Charges_Total</x:f>
        <x:v>1559.6730019999998</x:v>
      </x:c>
      <x:c r="D5" s="127" t="str">
        <x:f>IF(ABS(B5-C5)&lt;0.01,"PASS","FAIL")</x:f>
        <x:v>PASS</x:v>
      </x:c>
      <x:c r="E5" s="26" t="inlineStr">
        <x:is>
          <x:t xml:space="preserve">Instruments and Obligations agree</x:t>
        </x:is>
      </x:c>
    </x:row>
    <x:row r="6">
      <x:c r="A6" s="42" t="inlineStr">
        <x:is>
          <x:t xml:space="preserve">Cumulative charges, last row = total</x:t>
        </x:is>
      </x:c>
      <x:c r="B6" s="126" t="n">
        <x:f>Obligations!D10</x:f>
        <x:v>1559.6730019999998</x:v>
      </x:c>
      <x:c r="C6" s="126" t="n">
        <x:f>Charges_Total</x:f>
        <x:v>1559.6730019999998</x:v>
      </x:c>
      <x:c r="D6" s="127" t="str">
        <x:f>IF(ABS(B6-C6)&lt;0.01,"PASS","FAIL")</x:f>
        <x:v>PASS</x:v>
      </x:c>
      <x:c r="E6" s="26" t="inlineStr">
        <x:is>
          <x:t xml:space="preserve">Stack adds up</x:t>
        </x:is>
      </x:c>
    </x:row>
    <x:row r="7">
      <x:c r="A7" s="42" t="inlineStr">
        <x:is>
          <x:t xml:space="preserve">Cumulative claims, last row = debt + preferred notional</x:t>
        </x:is>
      </x:c>
      <x:c r="B7" s="126" t="n">
        <x:f>Obligations!G10</x:f>
        <x:v>20502.716099999998</x:v>
      </x:c>
      <x:c r="C7" s="126" t="n">
        <x:f>Debt_Principal+Pref_Notional_Total</x:f>
        <x:v>20502.7161</x:v>
      </x:c>
      <x:c r="D7" s="127" t="str">
        <x:f>IF(ABS(B7-C7)&lt;0.01,"PASS","FAIL")</x:f>
        <x:v>PASS</x:v>
      </x:c>
      <x:c r="E7" s="26" t="inlineStr">
        <x:is>
          <x:t xml:space="preserve">Claims stack adds up</x:t>
        </x:is>
      </x:c>
    </x:row>
    <x:row r="8">
      <x:c r="A8" s="42" t="inlineStr">
        <x:is>
          <x:t xml:space="preserve">Convertible coupon: schedule vs filed figure (2 x semi-annual)</x:t>
        </x:is>
      </x:c>
      <x:c r="B8" s="126" t="n">
        <x:f>Conv_Coupon_Sched</x:f>
        <x:v>34.594875</x:v>
      </x:c>
      <x:c r="C8" s="126" t="n">
        <x:f>2*Conv_Coupon_Semi</x:f>
        <x:v>34.6</x:v>
      </x:c>
      <x:c r="D8" s="127" t="str">
        <x:f>IF(ABS(B8-C8)&lt;=1,"PASS","FAIL")</x:f>
        <x:v>PASS</x:v>
      </x:c>
      <x:c r="E8" s="26" t="inlineStr">
        <x:is>
          <x:t xml:space="preserve">Debt inputs are consistent (within $1m)</x:t>
        </x:is>
      </x:c>
    </x:row>
    <x:row r="9">
      <x:c r="A9" s="42" t="inlineStr">
        <x:is>
          <x:t xml:space="preserve">Convertible principal (schedule) within reported debt</x:t>
        </x:is>
      </x:c>
      <x:c r="B9" s="126" t="n">
        <x:f>Conv_Principal_Sched</x:f>
        <x:v>6713.7</x:v>
      </x:c>
      <x:c r="C9" s="126" t="n">
        <x:f>Debt_Principal</x:f>
        <x:v>6750</x:v>
      </x:c>
      <x:c r="D9" s="127" t="str">
        <x:f>IF(B9&lt;=C9,"PASS","FAIL")</x:f>
        <x:v>PASS</x:v>
      </x:c>
      <x:c r="E9" s="26" t="inlineStr">
        <x:is>
          <x:t xml:space="preserve">Schedule does not exceed reported debt</x:t>
        </x:is>
      </x:c>
    </x:row>
    <x:row r="10">
      <x:c r="A10" s="42" t="inlineStr">
        <x:is>
          <x:t xml:space="preserve">Charges reconcile to management's Aug 23 figure (bridge below)</x:t>
        </x:is>
      </x:c>
      <x:c r="B10" s="126" t="n">
        <x:f>Recon_Comparable</x:f>
        <x:v>1701.2759299999998</x:v>
      </x:c>
      <x:c r="C10" s="126" t="n">
        <x:f>Mgmt_Annual_Estimate</x:f>
        <x:v>1703</x:v>
      </x:c>
      <x:c r="D10" s="127" t="str">
        <x:f>IF(ABS(B10/C10-1)&lt;=Recon_Tolerance,"PASS","FAIL")</x:f>
        <x:v>PASS</x:v>
      </x:c>
      <x:c r="E10" s="26" t="inlineStr">
        <x:is>
          <x:t xml:space="preserve">Model reproduces Strategy's own number once buybacks since Aug 23 are added back</x:t>
        </x:is>
      </x:c>
    </x:row>
    <x:row r="11">
      <x:c r="A11" s="42" t="inlineStr">
        <x:is>
          <x:t xml:space="preserve">Every input row has a source</x:t>
        </x:is>
      </x:c>
      <x:c r="B11" s="126" t="n">
        <x:f>SUMPRODUCT((Inputs!$B$6:$B$61&lt;&gt;"")*(Inputs!$E$6:$E$61=""))</x:f>
        <x:v>0</x:v>
      </x:c>
      <x:c r="C11" s="126" t="n">
        <x:v>0</x:v>
      </x:c>
      <x:c r="D11" s="127" t="str">
        <x:f>IF(ABS(B11-C11)&lt;0.01,"PASS","FAIL")</x:f>
        <x:v>PASS</x:v>
      </x:c>
      <x:c r="E11" s="26" t="inlineStr">
        <x:is>
          <x:t xml:space="preserve">Audit trail</x:t>
        </x:is>
      </x:c>
    </x:row>
    <x:row r="12">
      <x:c r="A12" s="42" t="inlineStr">
        <x:is>
          <x:t xml:space="preserve">Scenario selector matches a scenario</x:t>
        </x:is>
      </x:c>
      <x:c r="B12" s="126" t="b">
        <x:f>ISNUMBER(MATCH(Scenario_Select,Scenarios!$B$4:$F$4,0))</x:f>
        <x:v>1</x:v>
      </x:c>
      <x:c r="C12" s="126" t="b">
        <x:v>1</x:v>
      </x:c>
      <x:c r="D12" s="127" t="str">
        <x:f>IF(B12=C12,"PASS","FAIL")</x:f>
        <x:v>PASS</x:v>
      </x:c>
      <x:c r="E12" s="26" t="inlineStr">
        <x:is>
          <x:t xml:space="preserve">Live column resolves</x:t>
        </x:is>
      </x:c>
    </x:row>
    <x:row r="13">
      <x:c r="A13" s="42" t="inlineStr">
        <x:is>
          <x:t xml:space="preserve">Dashboard side-by-side, selected column = live coverage</x:t>
        </x:is>
      </x:c>
      <x:c r="B13" s="126" t="n">
        <x:f>INDEX(Cmp_Years,MATCH(Scenario_Select,Cmp_Heads,0))</x:f>
        <x:v>15.187542497449734</x:v>
      </x:c>
      <x:c r="C13" s="126" t="n">
        <x:f>Cov_Years_Total</x:f>
        <x:v>15.187542497449734</x:v>
      </x:c>
      <x:c r="D13" s="127" t="str">
        <x:f>IF(ABS(B13-C13)&lt;0.01,"PASS","FAIL")</x:f>
        <x:v>PASS</x:v>
      </x:c>
      <x:c r="E13" s="26" t="inlineStr">
        <x:is>
          <x:t xml:space="preserve">Two independent routes to the same answer</x:t>
        </x:is>
      </x:c>
    </x:row>
    <x:row r="14">
      <x:c r="A14" s="42" t="inlineStr">
        <x:is>
          <x:t xml:space="preserve">Grid 2: coverage never rises as BTC falls</x:t>
        </x:is>
      </x:c>
      <x:c r="B14" s="126" t="n">
        <x:f>SUMPRODUCT(--(Stress!B21:H28&lt;Stress!B20:H27-0.000001))</x:f>
        <x:v>0</x:v>
      </x:c>
      <x:c r="C14" s="126" t="n">
        <x:v>0</x:v>
      </x:c>
      <x:c r="D14" s="127" t="str">
        <x:f>IF(ABS(B14-C14)&lt;0.01,"PASS","FAIL")</x:f>
        <x:v>PASS</x:v>
      </x:c>
      <x:c r="E14" s="26" t="inlineStr">
        <x:is>
          <x:t xml:space="preserve">Monotonic in BTC price</x:t>
        </x:is>
      </x:c>
    </x:row>
    <x:row r="15">
      <x:c r="A15" s="42" t="inlineStr">
        <x:is>
          <x:t xml:space="preserve">Grid 1: no common sales below the mNAV floor (gate on)</x:t>
        </x:is>
      </x:c>
      <x:c r="B15" s="126" t="n">
        <x:f>IF(Gate_On="Yes",SUM(IF(Stress!B5&lt;mNAV_Floor,SUM(Stress!B6:B15),0),IF(Stress!C5&lt;mNAV_Floor,SUM(Stress!C6:C15),0),IF(Stress!D5&lt;mNAV_Floor,SUM(Stress!D6:D15),0),IF(Stress!E5&lt;mNAV_Floor,SUM(Stress!E6:E15),0),IF(Stress!F5&lt;mNAV_Floor,SUM(Stress!F6:F15),0),IF(Stress!G5&lt;mNAV_Floor,SUM(Stress!G6:G15),0),IF(Stress!H5&lt;mNAV_Floor,SUM(Stress!H6:H15),0)),0)</x:f>
        <x:v>0</x:v>
      </x:c>
      <x:c r="C15" s="126" t="n">
        <x:v>0</x:v>
      </x:c>
      <x:c r="D15" s="127" t="str">
        <x:f>IF(ABS(B15-C15)&lt;0.01,"PASS","FAIL")</x:f>
        <x:v>PASS</x:v>
      </x:c>
      <x:c r="E15" s="26" t="inlineStr">
        <x:is>
          <x:t xml:space="preserve">Gate works</x:t>
        </x:is>
      </x:c>
    </x:row>
    <x:row r="16">
      <x:c r="A16" s="42" t="inlineStr">
        <x:is>
          <x:t xml:space="preserve">BTC cover = live BTC price / 1.0x breakeven</x:t>
        </x:is>
      </x:c>
      <x:c r="B16" s="126" t="n">
        <x:f>BTC_Cover_Total</x:f>
        <x:v>3.397970318186282</x:v>
      </x:c>
      <x:c r="C16" s="126" t="n">
        <x:f>L_BTC/BE_BTC_1x</x:f>
        <x:v>3.3979703181862826</x:v>
      </x:c>
      <x:c r="D16" s="127" t="str">
        <x:f>IF(ABS(B16-C16)&lt;0.01,"PASS","FAIL")</x:f>
        <x:v>PASS</x:v>
      </x:c>
      <x:c r="E16" s="26" t="inlineStr">
        <x:is>
          <x:t xml:space="preserve">Two routes to the same number</x:t>
        </x:is>
      </x:c>
    </x:row>
    <x:row r="17">
      <x:c r="A17" s="42" t="inlineStr">
        <x:is>
          <x:t xml:space="preserve">Base implied MSTR price = observed price (Base selected only)</x:t>
        </x:is>
      </x:c>
      <x:c r="B17" s="126" t="n">
        <x:f>IF(Scenario_Select="Base",MSTR_Price_Live,MSTR_Price)</x:f>
        <x:v>151.29</x:v>
      </x:c>
      <x:c r="C17" s="126" t="n">
        <x:f>MSTR_Price</x:f>
        <x:v>151.29</x:v>
      </x:c>
      <x:c r="D17" s="127" t="str">
        <x:f>IF(ABS(B17-C17)&lt;0.01,"PASS","FAIL")</x:f>
        <x:v>PASS</x:v>
      </x:c>
      <x:c r="E17" s="26" t="inlineStr">
        <x:is>
          <x:t xml:space="preserve">The market-cap bridge is internally consistent</x:t>
        </x:is>
      </x:c>
    </x:row>
    <x:row r="18">
      <x:c r="A18" s="42" t="inlineStr">
        <x:is>
          <x:t xml:space="preserve">Runway Q4 2026 closing = Reserve - (charges - common)</x:t>
        </x:is>
      </x:c>
      <x:c r="B18" s="126" t="n">
        <x:f>Obligations!B23</x:f>
        <x:v>4880</x:v>
      </x:c>
      <x:c r="C18" s="126" t="n">
        <x:f>Reserve_Live-(Obligations!B18-Obligations!B20)</x:f>
        <x:v>4880</x:v>
      </x:c>
      <x:c r="D18" s="127" t="str">
        <x:f>IF(ABS(B18-C18)&lt;0.01,"PASS","FAIL")</x:f>
        <x:v>PASS</x:v>
      </x:c>
      <x:c r="E18" s="26" t="inlineStr">
        <x:is>
          <x:t xml:space="preserve">Roll-forward ties</x:t>
        </x:is>
      </x:c>
    </x:row>
    <x:row r="19">
      <x:c r="A19" s="42" t="inlineStr">
        <x:is>
          <x:t xml:space="preserve">Puts in window = schedule principal with puts Oct 2026-Sep 2028</x:t>
        </x:is>
      </x:c>
      <x:c r="B19" s="126" t="n">
        <x:f>Puts_In_Window</x:f>
        <x:v>5913.7</x:v>
      </x:c>
      <x:c r="C19" s="126" t="n">
        <x:f>SUMPRODUCT((Conv_PutDates&gt;=Obligations!B16)*(Conv_PutDates&lt;=Obligations!I17)*Conv_Principals)</x:f>
        <x:v>5913.7</x:v>
      </x:c>
      <x:c r="D19" s="127" t="str">
        <x:f>IF(ABS(B19-C19)&lt;0.01,"PASS","FAIL")</x:f>
        <x:v>PASS</x:v>
      </x:c>
      <x:c r="E19" s="26" t="inlineStr">
        <x:is>
          <x:t xml:space="preserve">Quarter bucketing loses nothing</x:t>
        </x:is>
      </x:c>
    </x:row>
    <x:row r="20">
      <x:c r="A20" s="42" t="inlineStr">
        <x:is>
          <x:t xml:space="preserve">No errors in Liquidity, Coverage or Stress</x:t>
        </x:is>
      </x:c>
      <x:c r="B20" s="126" t="n">
        <x:f>SUMPRODUCT(--ISERROR(Liquidity!B5:B31))+SUMPRODUCT(--ISERROR(Coverage!B5:H10))+SUMPRODUCT(--ISERROR(Stress!B6:H43))</x:f>
        <x:v>0</x:v>
      </x:c>
      <x:c r="C20" s="126" t="n">
        <x:v>0</x:v>
      </x:c>
      <x:c r="D20" s="127" t="str">
        <x:f>IF(ABS(B20-C20)&lt;0.01,"PASS","FAIL")</x:f>
        <x:v>PASS</x:v>
      </x:c>
      <x:c r="E20" s="26" t="inlineStr">
        <x:is>
          <x:t xml:space="preserve">Zero formula errors</x:t>
        </x:is>
      </x:c>
    </x:row>
    <x:row r="22">
      <x:c r="A22" s="3" t="inlineStr">
        <x:is>
          <x:t xml:space="preserve">Overall</x:t>
        </x:is>
      </x:c>
      <x:c r="D22" s="127" t="str">
        <x:f>IF(COUNTIF(D5:D20,"PASS")=16,"ALL PASS","CHECK")</x:f>
        <x:v>ALL PASS</x:v>
      </x:c>
    </x:row>
    <x:row r="25">
      <x:c r="A25" s="40" t="inlineStr">
        <x:is>
          <x:t xml:space="preserve">Reconciliation bridge to management's $1.703B (Aug 23 2026). Base inputs, independent of the selected scenario</x:t>
        </x:is>
      </x:c>
      <x:c r="B25" s="41" t="n"/>
      <x:c r="C25" s="41" t="n"/>
      <x:c r="D25" s="41" t="n"/>
      <x:c r="E25" s="41" t="n"/>
    </x:row>
    <x:row r="26">
      <x:c r="A26" s="42" t="inlineStr">
        <x:is>
          <x:t xml:space="preserve">Debt interest</x:t>
        </x:is>
      </x:c>
      <x:c r="B26" s="84" t="n">
        <x:f>Conv_Interest_Annual</x:f>
        <x:v>36.6</x:v>
      </x:c>
    </x:row>
    <x:row r="27">
      <x:c r="A27" s="42" t="inlineStr">
        <x:is>
          <x:t xml:space="preserve">STRF</x:t>
        </x:is>
      </x:c>
      <x:c r="B27" s="84" t="n">
        <x:f>Notional_STRF_In*Rate_STRF</x:f>
        <x:v>128.39690000000002</x:v>
      </x:c>
    </x:row>
    <x:row r="28">
      <x:c r="A28" s="42" t="inlineStr">
        <x:is>
          <x:t xml:space="preserve">STRC at today's notional and base rate</x:t>
        </x:is>
      </x:c>
      <x:c r="B28" s="84" t="n">
        <x:f>STRC_Notional_Now*Rate_STRC_Base</x:f>
        <x:v>1055.0572319999999</x:v>
      </x:c>
    </x:row>
    <x:row r="29">
      <x:c r="A29" s="42" t="inlineStr">
        <x:is>
          <x:t xml:space="preserve">STRE at spot EUR/USD</x:t>
        </x:is>
      </x:c>
      <x:c r="B29" s="84" t="n">
        <x:f>Notional_STRE_EUR*EURUSD_Spot*Rate_STRE</x:f>
        <x:v>87.21075</x:v>
      </x:c>
    </x:row>
    <x:row r="30">
      <x:c r="A30" s="42" t="inlineStr">
        <x:is>
          <x:t xml:space="preserve">STRK (cash)</x:t>
        </x:is>
      </x:c>
      <x:c r="B30" s="84" t="n">
        <x:f>Notional_STRK_In*Rate_STRK</x:f>
        <x:v>112.16592000000001</x:v>
      </x:c>
    </x:row>
    <x:row r="31">
      <x:c r="A31" s="42" t="inlineStr">
        <x:is>
          <x:t xml:space="preserve">STRD</x:t>
        </x:is>
      </x:c>
      <x:c r="B31" s="84" t="n">
        <x:f>Notional_STRD_In*Rate_STRD</x:f>
        <x:v>140.2422</x:v>
      </x:c>
    </x:row>
    <x:row r="32">
      <x:c r="A32" s="3" t="inlineStr">
        <x:is>
          <x:t xml:space="preserve">Model base charges today</x:t>
        </x:is>
      </x:c>
      <x:c r="B32" s="67" t="n">
        <x:f>SUM(B26:B31)</x:f>
        <x:v>1559.6730019999998</x:v>
      </x:c>
    </x:row>
    <x:row r="33">
      <x:c r="A33" s="42" t="inlineStr">
        <x:is>
          <x:t xml:space="preserve">plus: STRC dividends on shares bought back after Aug 23</x:t>
        </x:is>
      </x:c>
      <x:c r="B33" s="84" t="n">
        <x:f>STRC_Repurchased_Since_Aug23*STRC_LiqPref*Rate_STRC_Base</x:f>
        <x:v>141.602928</x:v>
      </x:c>
    </x:row>
    <x:row r="34">
      <x:c r="A34" s="3" t="inlineStr">
        <x:is>
          <x:t xml:space="preserve">Comparable to management's Aug 23 figure</x:t>
        </x:is>
      </x:c>
      <x:c r="B34" s="91" t="n">
        <x:f>B32+B33</x:f>
        <x:v>1701.2759299999998</x:v>
      </x:c>
    </x:row>
    <x:row r="35">
      <x:c r="A35" s="42" t="inlineStr">
        <x:is>
          <x:t xml:space="preserve">Management estimate (FWP, Aug 24 2026)</x:t>
        </x:is>
      </x:c>
      <x:c r="B35" s="83" t="n">
        <x:f>Mgmt_Annual_Estimate</x:f>
        <x:v>1703</x:v>
      </x:c>
    </x:row>
    <x:row r="36">
      <x:c r="A36" s="42" t="inlineStr">
        <x:is>
          <x:t xml:space="preserve">Gap</x:t>
        </x:is>
      </x:c>
      <x:c r="B36" s="84" t="n">
        <x:f>B34-B35</x:f>
        <x:v>-1.7240700000002107</x:v>
      </x:c>
      <x:c r="C36" s="85" t="n">
        <x:f>B36/B35</x:f>
        <x:v>-0.001012372284204469</x:v>
      </x:c>
      <x:c r="E36" s="26" t="inlineStr">
        <x:is>
          <x:t xml:space="preserve">Residual: EUR/USD then vs now and the estimated other-debt interest.</x:t>
        </x:is>
      </x:c>
    </x:row>
  </x:sheetData>
  <x:conditionalFormatting sqref="D5:D20">
    <x:cfRule type="cellIs" dxfId="0" priority="1" operator="equal">
      <x:formula>"PASS"</x:formula>
    </x:cfRule>
    <x:cfRule type="cellIs" dxfId="1" priority="2" operator="equal">
      <x:formula>"FAIL"</x:formula>
    </x:cfRule>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6" hidden="0" customWidth="1"/>
    <x:col min="2" max="2" width="14" hidden="0" customWidth="1"/>
    <x:col min="3" max="3" width="32" hidden="0" customWidth="1"/>
    <x:col min="4" max="4" width="14" hidden="0" customWidth="1"/>
    <x:col min="5" max="5" width="14" hidden="0" customWidth="1"/>
    <x:col min="6" max="6" width="14" hidden="0" customWidth="1"/>
    <x:col min="7" max="7" width="14" hidden="0" customWidth="1"/>
    <x:col min="8" max="8" width="65"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s>
  <x:sheetData>
    <x:row r="1">
      <x:c r="A1" s="129" t="str">
        <x:v>Net mNAV bridge</x:v>
      </x:c>
      <x:c r="B1" s="128"/>
      <x:c r="C1" s="128"/>
      <x:c r="D1" s="128"/>
      <x:c r="E1" s="128"/>
      <x:c r="F1" s="128"/>
      <x:c r="G1" s="128"/>
      <x:c r="H1" s="128"/>
      <x:c r="I1" s="128"/>
      <x:c r="J1" s="128"/>
      <x:c r="K1" s="128"/>
      <x:c r="L1" s="128"/>
      <x:c r="M1" s="128"/>
      <x:c r="N1" s="128"/>
      <x:c r="O1" s="128"/>
      <x:c r="P1" s="128"/>
      <x:c r="Q1" s="128"/>
      <x:c r="R1" s="128"/>
      <x:c r="S1" s="128"/>
      <x:c r="T1" s="128"/>
      <x:c r="U1" s="128"/>
      <x:c r="V1" s="128"/>
    </x:row>
    <x:row r="2" ht="32" customHeight="1">
      <x:c r="A2" s="128" t="str">
        <x:v>Current definition. Inputs in millions except per-share prices. Estimated basic shares and dated awards need Q3 refresh.</x:v>
      </x:c>
      <x:c r="B2" s="128"/>
      <x:c r="C2" s="128"/>
      <x:c r="D2" s="128"/>
      <x:c r="E2" s="128"/>
      <x:c r="F2" s="128"/>
      <x:c r="G2" s="128"/>
      <x:c r="H2" s="128"/>
      <x:c r="I2" s="128"/>
      <x:c r="J2" s="128"/>
      <x:c r="K2" s="128"/>
      <x:c r="L2" s="128"/>
      <x:c r="M2" s="128"/>
      <x:c r="N2" s="128"/>
      <x:c r="O2" s="128"/>
      <x:c r="P2" s="128"/>
      <x:c r="Q2" s="128"/>
      <x:c r="R2" s="128"/>
      <x:c r="S2" s="128"/>
      <x:c r="T2" s="128"/>
      <x:c r="U2" s="128"/>
      <x:c r="V2" s="128"/>
    </x:row>
    <x:row r="3">
      <x:c r="A3" s="128"/>
      <x:c r="B3" s="128"/>
      <x:c r="C3" s="128"/>
      <x:c r="D3" s="128"/>
      <x:c r="E3" s="128"/>
      <x:c r="F3" s="128"/>
      <x:c r="G3" s="128"/>
      <x:c r="H3" s="128"/>
      <x:c r="I3" s="128"/>
      <x:c r="J3" s="128"/>
      <x:c r="K3" s="128"/>
      <x:c r="L3" s="128"/>
      <x:c r="M3" s="128"/>
      <x:c r="N3" s="128"/>
      <x:c r="O3" s="128"/>
      <x:c r="P3" s="128"/>
      <x:c r="Q3" s="128"/>
      <x:c r="R3" s="128"/>
      <x:c r="S3" s="128"/>
      <x:c r="T3" s="128"/>
      <x:c r="U3" s="128"/>
      <x:c r="V3" s="128"/>
    </x:row>
    <x:row r="4" ht="36" customHeight="1">
      <x:c r="A4" s="132" t="str">
        <x:v>Note</x:v>
      </x:c>
      <x:c r="B4" s="132" t="str">
        <x:v>Face ($m)</x:v>
      </x:c>
      <x:c r="C4" s="132" t="str">
        <x:v>Conversion price</x:v>
      </x:c>
      <x:c r="D4" s="132" t="str">
        <x:v>Put date</x:v>
      </x:c>
      <x:c r="E4" s="132" t="str">
        <x:v>OTM claim ($m)</x:v>
      </x:c>
      <x:c r="F4" s="132" t="str">
        <x:v>ITM shares (m)</x:v>
      </x:c>
      <x:c r="G4" s="132" t="str">
        <x:v>Coupon</x:v>
      </x:c>
      <x:c r="H4" s="132" t="str">
        <x:v>Source</x:v>
      </x:c>
      <x:c r="I4" s="128"/>
      <x:c r="J4" s="128"/>
      <x:c r="K4" s="128"/>
      <x:c r="L4" s="128"/>
      <x:c r="M4" s="128"/>
      <x:c r="N4" s="128"/>
      <x:c r="O4" s="128"/>
      <x:c r="P4" s="128"/>
      <x:c r="Q4" s="128"/>
      <x:c r="R4" s="128"/>
      <x:c r="S4" s="128"/>
      <x:c r="T4" s="128"/>
      <x:c r="U4" s="128"/>
      <x:c r="V4" s="128"/>
    </x:row>
    <x:row r="5">
      <x:c r="A5" s="128" t="str">
        <x:v>2028</x:v>
      </x:c>
      <x:c r="B5" s="133" t="n">
        <x:v>1010</x:v>
      </x:c>
      <x:c r="C5" s="133" t="n">
        <x:v>183.19</x:v>
      </x:c>
      <x:c r="D5" s="134" t="d">
        <x:v>2027-09-15T00:00:00.000Z</x:v>
      </x:c>
      <x:c r="E5" s="128" t="n">
        <x:f>IF(MSTR_Price&lt;C5,B5,0)</x:f>
        <x:v>1010</x:v>
      </x:c>
      <x:c r="F5" s="128" t="n">
        <x:f>IF(MSTR_Price&gt;=C5,B5/C5,0)</x:f>
        <x:v>0</x:v>
      </x:c>
      <x:c r="G5" s="135" t="n">
        <x:v>0.00625</x:v>
      </x:c>
      <x:c r="H5" s="128" t="str">
        <x:v>https://www.sec.gov/Archives/edgar/data/1050446/000105044626000044/mstr-20260630.htm</x:v>
      </x:c>
      <x:c r="I5" s="128"/>
      <x:c r="J5" s="128"/>
      <x:c r="K5" s="128"/>
      <x:c r="L5" s="128"/>
      <x:c r="M5" s="128"/>
      <x:c r="N5" s="128"/>
      <x:c r="O5" s="128"/>
      <x:c r="P5" s="128"/>
      <x:c r="Q5" s="128"/>
      <x:c r="R5" s="128"/>
      <x:c r="S5" s="128"/>
      <x:c r="T5" s="128"/>
      <x:c r="U5" s="128"/>
      <x:c r="V5" s="128"/>
    </x:row>
    <x:row r="6">
      <x:c r="A6" s="128" t="str">
        <x:v>2029</x:v>
      </x:c>
      <x:c r="B6" s="133" t="n">
        <x:v>1500</x:v>
      </x:c>
      <x:c r="C6" s="133" t="n">
        <x:v>672.4</x:v>
      </x:c>
      <x:c r="D6" s="134" t="d">
        <x:v>2028-06-01T00:00:00.000Z</x:v>
      </x:c>
      <x:c r="E6" s="128" t="n">
        <x:f>IF(MSTR_Price&lt;C6,B6,0)</x:f>
        <x:v>1500</x:v>
      </x:c>
      <x:c r="F6" s="128" t="n">
        <x:f>IF(MSTR_Price&gt;=C6,B6/C6,0)</x:f>
        <x:v>0</x:v>
      </x:c>
      <x:c r="G6" s="135" t="n">
        <x:v>0</x:v>
      </x:c>
      <x:c r="H6" s="128" t="str">
        <x:v>https://www.sec.gov/Archives/edgar/data/1050446/000105044626000044/mstr-20260630.htm</x:v>
      </x:c>
      <x:c r="I6" s="128"/>
      <x:c r="J6" s="128"/>
      <x:c r="K6" s="128"/>
      <x:c r="L6" s="128"/>
      <x:c r="M6" s="128"/>
      <x:c r="N6" s="128"/>
      <x:c r="O6" s="128"/>
      <x:c r="P6" s="128"/>
      <x:c r="Q6" s="128"/>
      <x:c r="R6" s="128"/>
      <x:c r="S6" s="128"/>
      <x:c r="T6" s="128"/>
      <x:c r="U6" s="128"/>
      <x:c r="V6" s="128"/>
    </x:row>
    <x:row r="7">
      <x:c r="A7" s="128" t="str">
        <x:v>2030A</x:v>
      </x:c>
      <x:c r="B7" s="133" t="n">
        <x:v>800</x:v>
      </x:c>
      <x:c r="C7" s="133" t="n">
        <x:v>149.77</x:v>
      </x:c>
      <x:c r="D7" s="134" t="d">
        <x:v>2028-09-15T00:00:00.000Z</x:v>
      </x:c>
      <x:c r="E7" s="128" t="n">
        <x:f>IF(MSTR_Price&lt;C7,B7,0)</x:f>
        <x:v>0</x:v>
      </x:c>
      <x:c r="F7" s="128" t="n">
        <x:f>IF(MSTR_Price&gt;=C7,B7/C7,0)</x:f>
        <x:v>5.341523669626761</x:v>
      </x:c>
      <x:c r="G7" s="135" t="n">
        <x:v>0.00625</x:v>
      </x:c>
      <x:c r="H7" s="128" t="str">
        <x:v>https://www.sec.gov/Archives/edgar/data/1050446/000105044626000044/mstr-20260630.htm</x:v>
      </x:c>
      <x:c r="I7" s="128"/>
      <x:c r="J7" s="128"/>
      <x:c r="K7" s="128"/>
      <x:c r="L7" s="128"/>
      <x:c r="M7" s="128"/>
      <x:c r="N7" s="128"/>
      <x:c r="O7" s="128"/>
      <x:c r="P7" s="128"/>
      <x:c r="Q7" s="128"/>
      <x:c r="R7" s="128"/>
      <x:c r="S7" s="128"/>
      <x:c r="T7" s="128"/>
      <x:c r="U7" s="128"/>
      <x:c r="V7" s="128"/>
    </x:row>
    <x:row r="8">
      <x:c r="A8" s="128" t="str">
        <x:v>2030B</x:v>
      </x:c>
      <x:c r="B8" s="133" t="n">
        <x:v>2000</x:v>
      </x:c>
      <x:c r="C8" s="133" t="n">
        <x:v>433.43</x:v>
      </x:c>
      <x:c r="D8" s="134" t="d">
        <x:v>2028-03-01T00:00:00.000Z</x:v>
      </x:c>
      <x:c r="E8" s="128" t="n">
        <x:f>IF(MSTR_Price&lt;C8,B8,0)</x:f>
        <x:v>2000</x:v>
      </x:c>
      <x:c r="F8" s="128" t="n">
        <x:f>IF(MSTR_Price&gt;=C8,B8/C8,0)</x:f>
        <x:v>0</x:v>
      </x:c>
      <x:c r="G8" s="135" t="n">
        <x:v>0</x:v>
      </x:c>
      <x:c r="H8" s="128" t="str">
        <x:v>https://www.sec.gov/Archives/edgar/data/1050446/000105044626000044/mstr-20260630.htm</x:v>
      </x:c>
      <x:c r="I8" s="128"/>
      <x:c r="J8" s="128"/>
      <x:c r="K8" s="128"/>
      <x:c r="L8" s="128"/>
      <x:c r="M8" s="128"/>
      <x:c r="N8" s="128"/>
      <x:c r="O8" s="128"/>
      <x:c r="P8" s="128"/>
      <x:c r="Q8" s="128"/>
      <x:c r="R8" s="128"/>
      <x:c r="S8" s="128"/>
      <x:c r="T8" s="128"/>
      <x:c r="U8" s="128"/>
      <x:c r="V8" s="128"/>
    </x:row>
    <x:row r="9">
      <x:c r="A9" s="128" t="str">
        <x:v>2031</x:v>
      </x:c>
      <x:c r="B9" s="133" t="n">
        <x:v>603.659</x:v>
      </x:c>
      <x:c r="C9" s="133" t="n">
        <x:v>232.72</x:v>
      </x:c>
      <x:c r="D9" s="134" t="d">
        <x:v>2028-09-15T00:00:00.000Z</x:v>
      </x:c>
      <x:c r="E9" s="128" t="n">
        <x:f>IF(MSTR_Price&lt;C9,B9,0)</x:f>
        <x:v>603.659</x:v>
      </x:c>
      <x:c r="F9" s="128" t="n">
        <x:f>IF(MSTR_Price&gt;=C9,B9/C9,0)</x:f>
        <x:v>0</x:v>
      </x:c>
      <x:c r="G9" s="135" t="n">
        <x:v>0.00875</x:v>
      </x:c>
      <x:c r="H9" s="128" t="str">
        <x:v>https://www.sec.gov/Archives/edgar/data/1050446/000105044626000044/mstr-20260630.htm</x:v>
      </x:c>
      <x:c r="I9" s="128"/>
      <x:c r="J9" s="128"/>
      <x:c r="K9" s="128"/>
      <x:c r="L9" s="128"/>
      <x:c r="M9" s="128"/>
      <x:c r="N9" s="128"/>
      <x:c r="O9" s="128"/>
      <x:c r="P9" s="128"/>
      <x:c r="Q9" s="128"/>
      <x:c r="R9" s="128"/>
      <x:c r="S9" s="128"/>
      <x:c r="T9" s="128"/>
      <x:c r="U9" s="128"/>
      <x:c r="V9" s="128"/>
    </x:row>
    <x:row r="10">
      <x:c r="A10" s="128" t="str">
        <x:v>2032</x:v>
      </x:c>
      <x:c r="B10" s="133" t="n">
        <x:v>800</x:v>
      </x:c>
      <x:c r="C10" s="133" t="n">
        <x:v>204.33</x:v>
      </x:c>
      <x:c r="D10" s="134" t="d">
        <x:v>2029-06-15T00:00:00.000Z</x:v>
      </x:c>
      <x:c r="E10" s="128" t="n">
        <x:f>IF(MSTR_Price&lt;C10,B10,0)</x:f>
        <x:v>800</x:v>
      </x:c>
      <x:c r="F10" s="128" t="n">
        <x:f>IF(MSTR_Price&gt;=C10,B10/C10,0)</x:f>
        <x:v>0</x:v>
      </x:c>
      <x:c r="G10" s="135" t="n">
        <x:v>0.0225</x:v>
      </x:c>
      <x:c r="H10" s="128" t="str">
        <x:v>https://www.sec.gov/Archives/edgar/data/1050446/000105044626000044/mstr-20260630.htm</x:v>
      </x:c>
      <x:c r="I10" s="128"/>
      <x:c r="J10" s="128"/>
      <x:c r="K10" s="128"/>
      <x:c r="L10" s="128"/>
      <x:c r="M10" s="128"/>
      <x:c r="N10" s="128"/>
      <x:c r="O10" s="128"/>
      <x:c r="P10" s="128"/>
      <x:c r="Q10" s="128"/>
      <x:c r="R10" s="128"/>
      <x:c r="S10" s="128"/>
      <x:c r="T10" s="128"/>
      <x:c r="U10" s="128"/>
      <x:c r="V10" s="128"/>
    </x:row>
    <x:row r="11">
      <x:c r="A11" s="128"/>
      <x:c r="B11" s="128"/>
      <x:c r="C11" s="128"/>
      <x:c r="D11" s="128"/>
      <x:c r="E11" s="128"/>
      <x:c r="F11" s="128"/>
      <x:c r="G11" s="128"/>
      <x:c r="H11" s="128"/>
      <x:c r="I11" s="128"/>
      <x:c r="J11" s="128"/>
      <x:c r="K11" s="128"/>
      <x:c r="L11" s="128"/>
      <x:c r="M11" s="128"/>
      <x:c r="N11" s="128"/>
      <x:c r="O11" s="128"/>
      <x:c r="P11" s="128"/>
      <x:c r="Q11" s="128"/>
      <x:c r="R11" s="128"/>
      <x:c r="S11" s="128"/>
      <x:c r="T11" s="128"/>
      <x:c r="U11" s="128"/>
      <x:c r="V11" s="128"/>
    </x:row>
    <x:row r="12">
      <x:c r="A12" s="128" t="str">
        <x:v>Basic shares (m), rolled estimate</x:v>
      </x:c>
      <x:c r="B12" s="136" t="n">
        <x:f>MSTR_Shares</x:f>
        <x:v>421.761</x:v>
      </x:c>
      <x:c r="C12" s="136"/>
      <x:c r="D12" s="136"/>
      <x:c r="E12" s="136"/>
      <x:c r="F12" s="136"/>
      <x:c r="G12" s="128"/>
      <x:c r="H12" s="128"/>
      <x:c r="I12" s="128"/>
      <x:c r="J12" s="128"/>
      <x:c r="K12" s="128"/>
      <x:c r="L12" s="128"/>
      <x:c r="M12" s="128"/>
      <x:c r="N12" s="128"/>
      <x:c r="O12" s="128"/>
      <x:c r="P12" s="128"/>
      <x:c r="Q12" s="128"/>
      <x:c r="R12" s="128"/>
      <x:c r="S12" s="128"/>
      <x:c r="T12" s="128"/>
      <x:c r="U12" s="128"/>
      <x:c r="V12" s="128"/>
    </x:row>
    <x:row r="13">
      <x:c r="A13" s="128" t="str">
        <x:v>Awards (m), Q2 anchor</x:v>
      </x:c>
      <x:c r="B13" s="137" t="n">
        <x:v>3.950554</x:v>
      </x:c>
      <x:c r="C13" s="136"/>
      <x:c r="D13" s="136"/>
      <x:c r="E13" s="136"/>
      <x:c r="F13" s="136"/>
      <x:c r="G13" s="128"/>
      <x:c r="H13" s="128" t="str">
        <x:v>https://www.sec.gov/Archives/edgar/data/1050446/000105044626000044/mstr-20260630.htm (options + RSU + PSU anchor)</x:v>
      </x:c>
      <x:c r="I13" s="128"/>
      <x:c r="J13" s="128"/>
      <x:c r="K13" s="128"/>
      <x:c r="L13" s="128"/>
      <x:c r="M13" s="128"/>
      <x:c r="N13" s="128"/>
      <x:c r="O13" s="128"/>
      <x:c r="P13" s="128"/>
      <x:c r="Q13" s="128"/>
      <x:c r="R13" s="128"/>
      <x:c r="S13" s="128"/>
      <x:c r="T13" s="128"/>
      <x:c r="U13" s="128"/>
      <x:c r="V13" s="128"/>
    </x:row>
    <x:row r="14">
      <x:c r="A14" s="128" t="str">
        <x:v>STRK conversion price</x:v>
      </x:c>
      <x:c r="B14" s="137" t="n">
        <x:v>1000</x:v>
      </x:c>
      <x:c r="C14" s="136"/>
      <x:c r="D14" s="136"/>
      <x:c r="E14" s="136"/>
      <x:c r="F14" s="136"/>
      <x:c r="G14" s="128"/>
      <x:c r="H14" s="128"/>
      <x:c r="I14" s="128"/>
      <x:c r="J14" s="128"/>
      <x:c r="K14" s="128"/>
      <x:c r="L14" s="128"/>
      <x:c r="M14" s="128"/>
      <x:c r="N14" s="128"/>
      <x:c r="O14" s="128"/>
      <x:c r="P14" s="128"/>
      <x:c r="Q14" s="128"/>
      <x:c r="R14" s="128"/>
      <x:c r="S14" s="128"/>
      <x:c r="T14" s="128"/>
      <x:c r="U14" s="128"/>
      <x:c r="V14" s="128"/>
    </x:row>
    <x:row r="15">
      <x:c r="A15" s="128" t="str">
        <x:v>STRK in-money shares (m)</x:v>
      </x:c>
      <x:c r="B15" s="136" t="n">
        <x:f>IF(MSTR_Price&gt;=B14,Notional_STRK_In/B14,0)</x:f>
        <x:v>0</x:v>
      </x:c>
      <x:c r="C15" s="136"/>
      <x:c r="D15" s="136"/>
      <x:c r="E15" s="136"/>
      <x:c r="F15" s="136"/>
      <x:c r="G15" s="128"/>
      <x:c r="H15" s="128"/>
      <x:c r="I15" s="128"/>
      <x:c r="J15" s="128"/>
      <x:c r="K15" s="128"/>
      <x:c r="L15" s="128"/>
      <x:c r="M15" s="128"/>
      <x:c r="N15" s="128"/>
      <x:c r="O15" s="128"/>
      <x:c r="P15" s="128"/>
      <x:c r="Q15" s="128"/>
      <x:c r="R15" s="128"/>
      <x:c r="S15" s="128"/>
      <x:c r="T15" s="128"/>
      <x:c r="U15" s="128"/>
      <x:c r="V15" s="128"/>
    </x:row>
    <x:row r="16">
      <x:c r="A16" s="128" t="str">
        <x:v>Fully diluted shares (m)</x:v>
      </x:c>
      <x:c r="B16" s="136" t="n">
        <x:f>SUM(B12:B13)+SUM(F5:F10)+B15</x:f>
        <x:v>431.0530776696268</x:v>
      </x:c>
      <x:c r="C16" s="136"/>
      <x:c r="D16" s="136"/>
      <x:c r="E16" s="136"/>
      <x:c r="F16" s="136"/>
      <x:c r="G16" s="128"/>
      <x:c r="H16" s="128"/>
      <x:c r="I16" s="128"/>
      <x:c r="J16" s="128"/>
      <x:c r="K16" s="128"/>
      <x:c r="L16" s="128"/>
      <x:c r="M16" s="128"/>
      <x:c r="N16" s="128"/>
      <x:c r="O16" s="128"/>
      <x:c r="P16" s="128"/>
      <x:c r="Q16" s="128"/>
      <x:c r="R16" s="128"/>
      <x:c r="S16" s="128"/>
      <x:c r="T16" s="128"/>
      <x:c r="U16" s="128"/>
      <x:c r="V16" s="128"/>
    </x:row>
    <x:row r="17">
      <x:c r="A17" s="128" t="str">
        <x:v>Out-of-money convertible claims ($m)</x:v>
      </x:c>
      <x:c r="B17" s="136" t="n">
        <x:f>SUM(E5:E10)</x:f>
        <x:v>5913.659</x:v>
      </x:c>
      <x:c r="C17" s="136"/>
      <x:c r="D17" s="136"/>
      <x:c r="E17" s="136"/>
      <x:c r="F17" s="136"/>
      <x:c r="G17" s="128"/>
      <x:c r="H17" s="128"/>
      <x:c r="I17" s="128"/>
      <x:c r="J17" s="128"/>
      <x:c r="K17" s="128"/>
      <x:c r="L17" s="128"/>
      <x:c r="M17" s="128"/>
      <x:c r="N17" s="128"/>
      <x:c r="O17" s="128"/>
      <x:c r="P17" s="128"/>
      <x:c r="Q17" s="128"/>
      <x:c r="R17" s="128"/>
      <x:c r="S17" s="128"/>
      <x:c r="T17" s="128"/>
      <x:c r="U17" s="128"/>
      <x:c r="V17" s="128"/>
    </x:row>
    <x:row r="18">
      <x:c r="A18" s="128" t="str">
        <x:v>Preferred claims ($m)</x:v>
      </x:c>
      <x:c r="B18" s="136" t="n">
        <x:f>Pref_Notional_Spot-IF(MSTR_Price&gt;=B14,Notional_STRK_In,0)</x:f>
        <x:v>13752.716100000001</x:v>
      </x:c>
      <x:c r="C18" s="136"/>
      <x:c r="D18" s="136"/>
      <x:c r="E18" s="136"/>
      <x:c r="F18" s="136"/>
      <x:c r="G18" s="128"/>
      <x:c r="H18" s="128"/>
      <x:c r="I18" s="128"/>
      <x:c r="J18" s="128"/>
      <x:c r="K18" s="128"/>
      <x:c r="L18" s="128"/>
      <x:c r="M18" s="128"/>
      <x:c r="N18" s="128"/>
      <x:c r="O18" s="128"/>
      <x:c r="P18" s="128"/>
      <x:c r="Q18" s="128"/>
      <x:c r="R18" s="128"/>
      <x:c r="S18" s="128"/>
      <x:c r="T18" s="128"/>
      <x:c r="U18" s="128"/>
      <x:c r="V18" s="128"/>
    </x:row>
    <x:row r="19">
      <x:c r="A19" s="128" t="str">
        <x:v>Net BTC value ($m)</x:v>
      </x:c>
      <x:c r="B19" s="136" t="n">
        <x:f>BTC_NAV_Now+USD_Reserve+USD_Cash-B17-B18</x:f>
        <x:v>55521.74565</x:v>
      </x:c>
      <x:c r="C19" s="136"/>
      <x:c r="D19" s="136"/>
      <x:c r="E19" s="136"/>
      <x:c r="F19" s="136"/>
      <x:c r="G19" s="128"/>
      <x:c r="H19" s="128"/>
      <x:c r="I19" s="128"/>
      <x:c r="J19" s="128"/>
      <x:c r="K19" s="128"/>
      <x:c r="L19" s="128"/>
      <x:c r="M19" s="128"/>
      <x:c r="N19" s="128"/>
      <x:c r="O19" s="128"/>
      <x:c r="P19" s="128"/>
      <x:c r="Q19" s="128"/>
      <x:c r="R19" s="128"/>
      <x:c r="S19" s="128"/>
      <x:c r="T19" s="128"/>
      <x:c r="U19" s="128"/>
      <x:c r="V19" s="128"/>
    </x:row>
    <x:row r="20">
      <x:c r="A20" s="128" t="str">
        <x:v>Net mNAV</x:v>
      </x:c>
      <x:c r="B20" s="138" t="n">
        <x:f>IF(B19&gt;0,MSTR_Price*B16/B19,NA())</x:f>
        <x:v>1.1745671782680673</x:v>
      </x:c>
      <x:c r="C20" s="136"/>
      <x:c r="D20" s="136"/>
      <x:c r="E20" s="136"/>
      <x:c r="F20" s="136"/>
      <x:c r="G20" s="128"/>
      <x:c r="H20" s="128"/>
      <x:c r="I20" s="128"/>
      <x:c r="J20" s="128"/>
      <x:c r="K20" s="128"/>
      <x:c r="L20" s="128"/>
      <x:c r="M20" s="128"/>
      <x:c r="N20" s="128"/>
      <x:c r="O20" s="128"/>
      <x:c r="P20" s="128"/>
      <x:c r="Q20" s="128"/>
      <x:c r="R20" s="128"/>
      <x:c r="S20" s="128"/>
      <x:c r="T20" s="128"/>
      <x:c r="U20" s="128"/>
      <x:c r="V20" s="128"/>
    </x:row>
    <x:row r="21">
      <x:c r="A21" s="128" t="str">
        <x:v>Enterprise-value mNAV (legacy)</x:v>
      </x:c>
      <x:c r="B21" s="138" t="n">
        <x:f>EV_Now/BTC_NAV_Now</x:f>
        <x:v>1.1309477335638738</x:v>
      </x:c>
      <x:c r="C21" s="136"/>
      <x:c r="D21" s="136"/>
      <x:c r="E21" s="136"/>
      <x:c r="F21" s="136"/>
      <x:c r="G21" s="128"/>
      <x:c r="H21" s="128"/>
      <x:c r="I21" s="128"/>
      <x:c r="J21" s="128"/>
      <x:c r="K21" s="128"/>
      <x:c r="L21" s="128"/>
      <x:c r="M21" s="128"/>
      <x:c r="N21" s="128"/>
      <x:c r="O21" s="128"/>
      <x:c r="P21" s="128"/>
      <x:c r="Q21" s="128"/>
      <x:c r="R21" s="128"/>
      <x:c r="S21" s="128"/>
      <x:c r="T21" s="128"/>
      <x:c r="U21" s="128"/>
      <x:c r="V21" s="128"/>
    </x:row>
    <x:row r="22">
      <x:c r="A22" s="128" t="str">
        <x:v>Basic mNAV</x:v>
      </x:c>
      <x:c r="B22" s="138" t="n">
        <x:f>MSTR_MktCap_Now/BTC_NAV_Now</x:f>
        <x:v>0.9158949452138424</x:v>
      </x:c>
      <x:c r="C22" s="136"/>
      <x:c r="D22" s="136"/>
      <x:c r="E22" s="136"/>
      <x:c r="F22" s="136"/>
      <x:c r="G22" s="128"/>
      <x:c r="H22" s="128"/>
      <x:c r="I22" s="128"/>
      <x:c r="J22" s="128"/>
      <x:c r="K22" s="128"/>
      <x:c r="L22" s="128"/>
      <x:c r="M22" s="128"/>
      <x:c r="N22" s="128"/>
      <x:c r="O22" s="128"/>
      <x:c r="P22" s="128"/>
      <x:c r="Q22" s="128"/>
      <x:c r="R22" s="128"/>
      <x:c r="S22" s="128"/>
      <x:c r="T22" s="128"/>
      <x:c r="U22" s="128"/>
      <x:c r="V22" s="128"/>
    </x:row>
    <x:row r="23">
      <x:c r="A23" s="128" t="str">
        <x:v>Net BTC per diluted share</x:v>
      </x:c>
      <x:c r="B23" s="136" t="n">
        <x:f>B19*1000000/BTC_Spot/(B16*1000000)</x:f>
        <x:v>0.0015682859485453419</x:v>
      </x:c>
      <x:c r="C23" s="136"/>
      <x:c r="D23" s="136"/>
      <x:c r="E23" s="136"/>
      <x:c r="F23" s="136"/>
      <x:c r="G23" s="128"/>
      <x:c r="H23" s="128"/>
      <x:c r="I23" s="128"/>
      <x:c r="J23" s="128"/>
      <x:c r="K23" s="128"/>
      <x:c r="L23" s="128"/>
      <x:c r="M23" s="128"/>
      <x:c r="N23" s="128"/>
      <x:c r="O23" s="128"/>
      <x:c r="P23" s="128"/>
      <x:c r="Q23" s="128"/>
      <x:c r="R23" s="128"/>
      <x:c r="S23" s="128"/>
      <x:c r="T23" s="128"/>
      <x:c r="U23" s="128"/>
      <x:c r="V23" s="128"/>
    </x:row>
    <x:row r="24">
      <x:c r="A24" s="128"/>
      <x:c r="B24" s="128"/>
      <x:c r="C24" s="128"/>
      <x:c r="D24" s="128"/>
      <x:c r="E24" s="128"/>
      <x:c r="F24" s="128"/>
      <x:c r="G24" s="128"/>
      <x:c r="H24" s="128"/>
      <x:c r="I24" s="128"/>
      <x:c r="J24" s="128"/>
      <x:c r="K24" s="128"/>
      <x:c r="L24" s="128"/>
      <x:c r="M24" s="128"/>
      <x:c r="N24" s="128"/>
      <x:c r="O24" s="128"/>
      <x:c r="P24" s="128"/>
      <x:c r="Q24" s="128"/>
      <x:c r="R24" s="128"/>
      <x:c r="S24" s="128"/>
      <x:c r="T24" s="128"/>
      <x:c r="U24" s="128"/>
      <x:c r="V24" s="128"/>
    </x:row>
    <x:row r="25">
      <x:c r="A25" s="128" t="str">
        <x:v>Moneyness uses &gt;= conversion price, matching current issuer notes. dat-accretion currently uses &gt;; equality is the only boundary difference.</x:v>
      </x:c>
      <x:c r="B25" s="128"/>
      <x:c r="C25" s="128"/>
      <x:c r="D25" s="128"/>
      <x:c r="E25" s="128"/>
      <x:c r="F25" s="128"/>
      <x:c r="G25" s="128"/>
      <x:c r="H25" s="128"/>
      <x:c r="I25" s="128"/>
      <x:c r="J25" s="128"/>
      <x:c r="K25" s="128"/>
      <x:c r="L25" s="128"/>
      <x:c r="M25" s="128"/>
      <x:c r="N25" s="128"/>
      <x:c r="O25" s="128"/>
      <x:c r="P25" s="128"/>
      <x:c r="Q25" s="128"/>
      <x:c r="R25" s="128"/>
      <x:c r="S25" s="128"/>
      <x:c r="T25" s="128"/>
      <x:c r="U25" s="128"/>
      <x:c r="V25" s="128"/>
    </x:row>
    <x:row r="26">
      <x:c r="A26" s="128" t="str">
        <x:v>Net definition excludes other secured debt, retained separately in cash interest and BTC gross-claim coverage.</x:v>
      </x:c>
      <x:c r="B26" s="128"/>
      <x:c r="C26" s="128"/>
      <x:c r="D26" s="128"/>
      <x:c r="E26" s="128"/>
      <x:c r="F26" s="128"/>
      <x:c r="G26" s="128"/>
      <x:c r="H26" s="128"/>
      <x:c r="I26" s="128"/>
      <x:c r="J26" s="128"/>
      <x:c r="K26" s="128"/>
      <x:c r="L26" s="128"/>
      <x:c r="M26" s="128"/>
      <x:c r="N26" s="128"/>
      <x:c r="O26" s="128"/>
      <x:c r="P26" s="128"/>
      <x:c r="Q26" s="128"/>
      <x:c r="R26" s="128"/>
      <x:c r="S26" s="128"/>
      <x:c r="T26" s="128"/>
      <x:c r="U26" s="128"/>
      <x:c r="V26" s="128"/>
    </x:row>
    <x:row r="27">
      <x:c r="A27" s="128" t="str">
        <x:v>USD Assets use Reserve + USD Cash; STRE uses model FX, not a certified Friday BFIX. This is an estimated reconstruction.</x:v>
      </x:c>
      <x:c r="B27" s="128"/>
      <x:c r="C27" s="128"/>
      <x:c r="D27" s="128"/>
      <x:c r="E27" s="128"/>
      <x:c r="F27" s="128"/>
      <x:c r="G27" s="128"/>
      <x:c r="H27" s="128"/>
      <x:c r="I27" s="128"/>
      <x:c r="J27" s="128"/>
      <x:c r="K27" s="128"/>
      <x:c r="L27" s="128"/>
      <x:c r="M27" s="128"/>
      <x:c r="N27" s="128"/>
      <x:c r="O27" s="128"/>
      <x:c r="P27" s="128"/>
      <x:c r="Q27" s="128"/>
      <x:c r="R27" s="128"/>
      <x:c r="S27" s="128"/>
      <x:c r="T27" s="128"/>
      <x:c r="U27" s="128"/>
      <x:c r="V27" s="128"/>
    </x:row>
    <x:row r="28">
      <x:c r="A28" s="128" t="str">
        <x:v>https://www.strategy.com/notes</x:v>
      </x:c>
      <x:c r="B28" s="128"/>
      <x:c r="C28" s="128"/>
      <x:c r="D28" s="128"/>
      <x:c r="E28" s="128"/>
      <x:c r="F28" s="128"/>
      <x:c r="G28" s="128"/>
      <x:c r="H28" s="128"/>
      <x:c r="I28" s="128"/>
      <x:c r="J28" s="128"/>
      <x:c r="K28" s="128"/>
      <x:c r="L28" s="128"/>
      <x:c r="M28" s="128"/>
      <x:c r="N28" s="128"/>
      <x:c r="O28" s="128"/>
      <x:c r="P28" s="128"/>
      <x:c r="Q28" s="128"/>
      <x:c r="R28" s="128"/>
      <x:c r="S28" s="128"/>
      <x:c r="T28" s="128"/>
      <x:c r="U28" s="128"/>
      <x:c r="V28" s="128"/>
    </x:row>
    <x:row r="29">
      <x:c r="A29" s="128" t="str">
        <x:v>Snapshot sensitivities freeze observed moneyness. The path reclassifies on prior-quarter price, avoiding circular calculations.</x:v>
      </x:c>
      <x:c r="B29" s="128"/>
      <x:c r="C29" s="128"/>
      <x:c r="D29" s="128"/>
      <x:c r="E29" s="128"/>
      <x:c r="F29" s="128"/>
      <x:c r="G29" s="128"/>
      <x:c r="H29" s="128"/>
      <x:c r="I29" s="128"/>
      <x:c r="J29" s="128"/>
      <x:c r="K29" s="128"/>
      <x:c r="L29" s="128"/>
      <x:c r="M29" s="128"/>
      <x:c r="N29" s="128"/>
      <x:c r="O29" s="128"/>
      <x:c r="P29" s="128"/>
      <x:c r="Q29" s="128"/>
      <x:c r="R29" s="128"/>
      <x:c r="S29" s="128"/>
      <x:c r="T29" s="128"/>
      <x:c r="U29" s="128"/>
      <x:c r="V29" s="128"/>
    </x:row>
    <x:row r="30">
      <x:c r="A30" s="128"/>
      <x:c r="B30" s="128"/>
      <x:c r="C30" s="128"/>
      <x:c r="D30" s="128"/>
      <x:c r="E30" s="128"/>
      <x:c r="F30" s="128"/>
      <x:c r="G30" s="128"/>
      <x:c r="H30" s="128"/>
      <x:c r="I30" s="128"/>
      <x:c r="J30" s="128"/>
      <x:c r="K30" s="128"/>
      <x:c r="L30" s="128"/>
      <x:c r="M30" s="128"/>
      <x:c r="N30" s="128"/>
      <x:c r="O30" s="128"/>
      <x:c r="P30" s="128"/>
      <x:c r="Q30" s="128"/>
      <x:c r="R30" s="128"/>
      <x:c r="S30" s="128"/>
      <x:c r="T30" s="128"/>
      <x:c r="U30" s="128"/>
      <x:c r="V30" s="128"/>
    </x:row>
    <x:row r="31">
      <x:c r="A31" s="128"/>
      <x:c r="B31" s="128"/>
      <x:c r="C31" s="128"/>
      <x:c r="D31" s="128"/>
      <x:c r="E31" s="128"/>
      <x:c r="F31" s="128"/>
      <x:c r="G31" s="128"/>
      <x:c r="H31" s="128"/>
      <x:c r="I31" s="128"/>
      <x:c r="J31" s="128"/>
      <x:c r="K31" s="128"/>
      <x:c r="L31" s="128"/>
      <x:c r="M31" s="128"/>
      <x:c r="N31" s="128"/>
      <x:c r="O31" s="128"/>
      <x:c r="P31" s="128"/>
      <x:c r="Q31" s="128"/>
      <x:c r="R31" s="128"/>
      <x:c r="S31" s="128"/>
      <x:c r="T31" s="128"/>
      <x:c r="U31" s="128"/>
      <x:c r="V31" s="128"/>
    </x:row>
    <x:row r="32">
      <x:c r="A32" s="128"/>
      <x:c r="B32" s="128"/>
      <x:c r="C32" s="128"/>
      <x:c r="D32" s="128"/>
      <x:c r="E32" s="128"/>
      <x:c r="F32" s="128"/>
      <x:c r="G32" s="128"/>
      <x:c r="H32" s="128"/>
      <x:c r="I32" s="128"/>
      <x:c r="J32" s="128"/>
      <x:c r="K32" s="128"/>
      <x:c r="L32" s="128"/>
      <x:c r="M32" s="128"/>
      <x:c r="N32" s="128"/>
      <x:c r="O32" s="128"/>
      <x:c r="P32" s="128"/>
      <x:c r="Q32" s="128"/>
      <x:c r="R32" s="128"/>
      <x:c r="S32" s="128"/>
      <x:c r="T32" s="128"/>
      <x:c r="U32" s="128"/>
      <x:c r="V32" s="128"/>
    </x:row>
    <x:row r="33">
      <x:c r="A33" s="128"/>
      <x:c r="B33" s="128"/>
      <x:c r="C33" s="128"/>
      <x:c r="D33" s="128"/>
      <x:c r="E33" s="128"/>
      <x:c r="F33" s="128"/>
      <x:c r="G33" s="128"/>
      <x:c r="H33" s="128"/>
      <x:c r="I33" s="128"/>
      <x:c r="J33" s="128"/>
      <x:c r="K33" s="128"/>
      <x:c r="L33" s="128"/>
      <x:c r="M33" s="128"/>
      <x:c r="N33" s="128"/>
      <x:c r="O33" s="128"/>
      <x:c r="P33" s="128"/>
      <x:c r="Q33" s="128"/>
      <x:c r="R33" s="128"/>
      <x:c r="S33" s="128"/>
      <x:c r="T33" s="128"/>
      <x:c r="U33" s="128"/>
      <x:c r="V33" s="128"/>
    </x:row>
    <x:row r="34">
      <x:c r="A34" s="128"/>
      <x:c r="B34" s="128"/>
      <x:c r="C34" s="128"/>
      <x:c r="D34" s="128"/>
      <x:c r="E34" s="128"/>
      <x:c r="F34" s="128"/>
      <x:c r="G34" s="128"/>
      <x:c r="H34" s="128"/>
      <x:c r="I34" s="128"/>
      <x:c r="J34" s="128"/>
      <x:c r="K34" s="128"/>
      <x:c r="L34" s="128"/>
      <x:c r="M34" s="128"/>
      <x:c r="N34" s="128"/>
      <x:c r="O34" s="128"/>
      <x:c r="P34" s="128"/>
      <x:c r="Q34" s="128"/>
      <x:c r="R34" s="128"/>
      <x:c r="S34" s="128"/>
      <x:c r="T34" s="128"/>
      <x:c r="U34" s="128"/>
      <x:c r="V34" s="128"/>
    </x:row>
    <x:row r="35">
      <x:c r="A35" s="128"/>
      <x:c r="B35" s="128"/>
      <x:c r="C35" s="128"/>
      <x:c r="D35" s="128"/>
      <x:c r="E35" s="128"/>
      <x:c r="F35" s="128"/>
      <x:c r="G35" s="128"/>
      <x:c r="H35" s="128"/>
      <x:c r="I35" s="128"/>
      <x:c r="J35" s="128"/>
      <x:c r="K35" s="128"/>
      <x:c r="L35" s="128"/>
      <x:c r="M35" s="128"/>
      <x:c r="N35" s="128"/>
      <x:c r="O35" s="128"/>
      <x:c r="P35" s="128"/>
      <x:c r="Q35" s="128"/>
      <x:c r="R35" s="128"/>
      <x:c r="S35" s="128"/>
      <x:c r="T35" s="128"/>
      <x:c r="U35" s="128"/>
      <x:c r="V35" s="128"/>
    </x:row>
    <x:row r="36">
      <x:c r="A36" s="128"/>
      <x:c r="B36" s="128"/>
      <x:c r="C36" s="128"/>
      <x:c r="D36" s="128"/>
      <x:c r="E36" s="128"/>
      <x:c r="F36" s="128"/>
      <x:c r="G36" s="128"/>
      <x:c r="H36" s="128"/>
      <x:c r="I36" s="128"/>
      <x:c r="J36" s="128"/>
      <x:c r="K36" s="128"/>
      <x:c r="L36" s="128"/>
      <x:c r="M36" s="128"/>
      <x:c r="N36" s="128"/>
      <x:c r="O36" s="128"/>
      <x:c r="P36" s="128"/>
      <x:c r="Q36" s="128"/>
      <x:c r="R36" s="128"/>
      <x:c r="S36" s="128"/>
      <x:c r="T36" s="128"/>
      <x:c r="U36" s="128"/>
      <x:c r="V36" s="128"/>
    </x:row>
    <x:row r="37">
      <x:c r="A37" s="128"/>
      <x:c r="B37" s="128"/>
      <x:c r="C37" s="128"/>
      <x:c r="D37" s="128"/>
      <x:c r="E37" s="128"/>
      <x:c r="F37" s="128"/>
      <x:c r="G37" s="128"/>
      <x:c r="H37" s="128"/>
      <x:c r="I37" s="128"/>
      <x:c r="J37" s="128"/>
      <x:c r="K37" s="128"/>
      <x:c r="L37" s="128"/>
      <x:c r="M37" s="128"/>
      <x:c r="N37" s="128"/>
      <x:c r="O37" s="128"/>
      <x:c r="P37" s="128"/>
      <x:c r="Q37" s="128"/>
      <x:c r="R37" s="128"/>
      <x:c r="S37" s="128"/>
      <x:c r="T37" s="128"/>
      <x:c r="U37" s="128"/>
      <x:c r="V37" s="128"/>
    </x:row>
    <x:row r="38">
      <x:c r="A38" s="128"/>
      <x:c r="B38" s="128"/>
      <x:c r="C38" s="128"/>
      <x:c r="D38" s="128"/>
      <x:c r="E38" s="128"/>
      <x:c r="F38" s="128"/>
      <x:c r="G38" s="128"/>
      <x:c r="H38" s="128"/>
      <x:c r="I38" s="128"/>
      <x:c r="J38" s="128"/>
      <x:c r="K38" s="128"/>
      <x:c r="L38" s="128"/>
      <x:c r="M38" s="128"/>
      <x:c r="N38" s="128"/>
      <x:c r="O38" s="128"/>
      <x:c r="P38" s="128"/>
      <x:c r="Q38" s="128"/>
      <x:c r="R38" s="128"/>
      <x:c r="S38" s="128"/>
      <x:c r="T38" s="128"/>
      <x:c r="U38" s="128"/>
      <x:c r="V38" s="128"/>
    </x:row>
    <x:row r="39">
      <x:c r="A39" s="128"/>
      <x:c r="B39" s="128"/>
      <x:c r="C39" s="128"/>
      <x:c r="D39" s="128"/>
      <x:c r="E39" s="128"/>
      <x:c r="F39" s="128"/>
      <x:c r="G39" s="128"/>
      <x:c r="H39" s="128"/>
      <x:c r="I39" s="128"/>
      <x:c r="J39" s="128"/>
      <x:c r="K39" s="128"/>
      <x:c r="L39" s="128"/>
      <x:c r="M39" s="128"/>
      <x:c r="N39" s="128"/>
      <x:c r="O39" s="128"/>
      <x:c r="P39" s="128"/>
      <x:c r="Q39" s="128"/>
      <x:c r="R39" s="128"/>
      <x:c r="S39" s="128"/>
      <x:c r="T39" s="128"/>
      <x:c r="U39" s="128"/>
      <x:c r="V39" s="128"/>
    </x:row>
    <x:row r="40">
      <x:c r="A40" s="128"/>
      <x:c r="B40" s="128"/>
      <x:c r="C40" s="128"/>
      <x:c r="D40" s="128"/>
      <x:c r="E40" s="128"/>
      <x:c r="F40" s="128"/>
      <x:c r="G40" s="128"/>
      <x:c r="H40" s="128"/>
      <x:c r="I40" s="128"/>
      <x:c r="J40" s="128"/>
      <x:c r="K40" s="128"/>
      <x:c r="L40" s="128"/>
      <x:c r="M40" s="128"/>
      <x:c r="N40" s="128"/>
      <x:c r="O40" s="128"/>
      <x:c r="P40" s="128"/>
      <x:c r="Q40" s="128"/>
      <x:c r="R40" s="128"/>
      <x:c r="S40" s="128"/>
      <x:c r="T40" s="128"/>
      <x:c r="U40" s="128"/>
      <x:c r="V40" s="128"/>
    </x:row>
    <x:row r="41">
      <x:c r="A41" s="128"/>
      <x:c r="B41" s="128"/>
      <x:c r="C41" s="128"/>
      <x:c r="D41" s="128"/>
      <x:c r="E41" s="128"/>
      <x:c r="F41" s="128"/>
      <x:c r="G41" s="128"/>
      <x:c r="H41" s="128"/>
      <x:c r="I41" s="128"/>
      <x:c r="J41" s="128"/>
      <x:c r="K41" s="128"/>
      <x:c r="L41" s="128"/>
      <x:c r="M41" s="128"/>
      <x:c r="N41" s="128"/>
      <x:c r="O41" s="128"/>
      <x:c r="P41" s="128"/>
      <x:c r="Q41" s="128"/>
      <x:c r="R41" s="128"/>
      <x:c r="S41" s="128"/>
      <x:c r="T41" s="128"/>
      <x:c r="U41" s="128"/>
      <x:c r="V41" s="128"/>
    </x:row>
    <x:row r="42">
      <x:c r="A42" s="128"/>
      <x:c r="B42" s="128"/>
      <x:c r="C42" s="128"/>
      <x:c r="D42" s="128"/>
      <x:c r="E42" s="128"/>
      <x:c r="F42" s="128"/>
      <x:c r="G42" s="128"/>
      <x:c r="H42" s="128"/>
      <x:c r="I42" s="128"/>
      <x:c r="J42" s="128"/>
      <x:c r="K42" s="128"/>
      <x:c r="L42" s="128"/>
      <x:c r="M42" s="128"/>
      <x:c r="N42" s="128"/>
      <x:c r="O42" s="128"/>
      <x:c r="P42" s="128"/>
      <x:c r="Q42" s="128"/>
      <x:c r="R42" s="128"/>
      <x:c r="S42" s="128"/>
      <x:c r="T42" s="128"/>
      <x:c r="U42" s="128"/>
      <x:c r="V42" s="128"/>
    </x:row>
    <x:row r="43">
      <x:c r="A43" s="128"/>
      <x:c r="B43" s="128"/>
      <x:c r="C43" s="128"/>
      <x:c r="D43" s="128"/>
      <x:c r="E43" s="128"/>
      <x:c r="F43" s="128"/>
      <x:c r="G43" s="128"/>
      <x:c r="H43" s="128"/>
      <x:c r="I43" s="128"/>
      <x:c r="J43" s="128"/>
      <x:c r="K43" s="128"/>
      <x:c r="L43" s="128"/>
      <x:c r="M43" s="128"/>
      <x:c r="N43" s="128"/>
      <x:c r="O43" s="128"/>
      <x:c r="P43" s="128"/>
      <x:c r="Q43" s="128"/>
      <x:c r="R43" s="128"/>
      <x:c r="S43" s="128"/>
      <x:c r="T43" s="128"/>
      <x:c r="U43" s="128"/>
      <x:c r="V43" s="128"/>
    </x:row>
    <x:row r="44">
      <x:c r="A44" s="128"/>
      <x:c r="B44" s="128"/>
      <x:c r="C44" s="128"/>
      <x:c r="D44" s="128"/>
      <x:c r="E44" s="128"/>
      <x:c r="F44" s="128"/>
      <x:c r="G44" s="128"/>
      <x:c r="H44" s="128"/>
      <x:c r="I44" s="128"/>
      <x:c r="J44" s="128"/>
      <x:c r="K44" s="128"/>
      <x:c r="L44" s="128"/>
      <x:c r="M44" s="128"/>
      <x:c r="N44" s="128"/>
      <x:c r="O44" s="128"/>
      <x:c r="P44" s="128"/>
      <x:c r="Q44" s="128"/>
      <x:c r="R44" s="128"/>
      <x:c r="S44" s="128"/>
      <x:c r="T44" s="128"/>
      <x:c r="U44" s="128"/>
      <x:c r="V44" s="128"/>
    </x:row>
    <x:row r="45">
      <x:c r="A45" s="128"/>
      <x:c r="B45" s="128"/>
      <x:c r="C45" s="128"/>
      <x:c r="D45" s="128"/>
      <x:c r="E45" s="128"/>
      <x:c r="F45" s="128"/>
      <x:c r="G45" s="128"/>
      <x:c r="H45" s="128"/>
      <x:c r="I45" s="128"/>
      <x:c r="J45" s="128"/>
      <x:c r="K45" s="128"/>
      <x:c r="L45" s="128"/>
      <x:c r="M45" s="128"/>
      <x:c r="N45" s="128"/>
      <x:c r="O45" s="128"/>
      <x:c r="P45" s="128"/>
      <x:c r="Q45" s="128"/>
      <x:c r="R45" s="128"/>
      <x:c r="S45" s="128"/>
      <x:c r="T45" s="128"/>
      <x:c r="U45" s="128"/>
      <x:c r="V45" s="128"/>
    </x:row>
    <x:row r="46">
      <x:c r="A46" s="128"/>
      <x:c r="B46" s="128"/>
      <x:c r="C46" s="128"/>
      <x:c r="D46" s="128"/>
      <x:c r="E46" s="128"/>
      <x:c r="F46" s="128"/>
      <x:c r="G46" s="128"/>
      <x:c r="H46" s="128"/>
      <x:c r="I46" s="128"/>
      <x:c r="J46" s="128"/>
      <x:c r="K46" s="128"/>
      <x:c r="L46" s="128"/>
      <x:c r="M46" s="128"/>
      <x:c r="N46" s="128"/>
      <x:c r="O46" s="128"/>
      <x:c r="P46" s="128"/>
      <x:c r="Q46" s="128"/>
      <x:c r="R46" s="128"/>
      <x:c r="S46" s="128"/>
      <x:c r="T46" s="128"/>
      <x:c r="U46" s="128"/>
      <x:c r="V46" s="128"/>
    </x:row>
    <x:row r="47">
      <x:c r="A47" s="128"/>
      <x:c r="B47" s="128"/>
      <x:c r="C47" s="128"/>
      <x:c r="D47" s="128"/>
      <x:c r="E47" s="128"/>
      <x:c r="F47" s="128"/>
      <x:c r="G47" s="128"/>
      <x:c r="H47" s="128"/>
      <x:c r="I47" s="128"/>
      <x:c r="J47" s="128"/>
      <x:c r="K47" s="128"/>
      <x:c r="L47" s="128"/>
      <x:c r="M47" s="128"/>
      <x:c r="N47" s="128"/>
      <x:c r="O47" s="128"/>
      <x:c r="P47" s="128"/>
      <x:c r="Q47" s="128"/>
      <x:c r="R47" s="128"/>
      <x:c r="S47" s="128"/>
      <x:c r="T47" s="128"/>
      <x:c r="U47" s="128"/>
      <x:c r="V47" s="128"/>
    </x:row>
    <x:row r="48">
      <x:c r="A48" s="128"/>
      <x:c r="B48" s="128"/>
      <x:c r="C48" s="128"/>
      <x:c r="D48" s="128"/>
      <x:c r="E48" s="128"/>
      <x:c r="F48" s="128"/>
      <x:c r="G48" s="128"/>
      <x:c r="H48" s="128"/>
      <x:c r="I48" s="128"/>
      <x:c r="J48" s="128"/>
      <x:c r="K48" s="128"/>
      <x:c r="L48" s="128"/>
      <x:c r="M48" s="128"/>
      <x:c r="N48" s="128"/>
      <x:c r="O48" s="128"/>
      <x:c r="P48" s="128"/>
      <x:c r="Q48" s="128"/>
      <x:c r="R48" s="128"/>
      <x:c r="S48" s="128"/>
      <x:c r="T48" s="128"/>
      <x:c r="U48" s="128"/>
      <x:c r="V48" s="128"/>
    </x:row>
    <x:row r="49">
      <x:c r="A49" s="128"/>
      <x:c r="B49" s="128"/>
      <x:c r="C49" s="128"/>
      <x:c r="D49" s="128"/>
      <x:c r="E49" s="128"/>
      <x:c r="F49" s="128"/>
      <x:c r="G49" s="128"/>
      <x:c r="H49" s="128"/>
      <x:c r="I49" s="128"/>
      <x:c r="J49" s="128"/>
      <x:c r="K49" s="128"/>
      <x:c r="L49" s="128"/>
      <x:c r="M49" s="128"/>
      <x:c r="N49" s="128"/>
      <x:c r="O49" s="128"/>
      <x:c r="P49" s="128"/>
      <x:c r="Q49" s="128"/>
      <x:c r="R49" s="128"/>
      <x:c r="S49" s="128"/>
      <x:c r="T49" s="128"/>
      <x:c r="U49" s="128"/>
      <x:c r="V49" s="128"/>
    </x:row>
    <x:row r="50">
      <x:c r="A50" s="128"/>
      <x:c r="B50" s="128"/>
      <x:c r="C50" s="128"/>
      <x:c r="D50" s="128"/>
      <x:c r="E50" s="128"/>
      <x:c r="F50" s="128"/>
      <x:c r="G50" s="128"/>
      <x:c r="H50" s="128"/>
      <x:c r="I50" s="128"/>
      <x:c r="J50" s="128"/>
      <x:c r="K50" s="128"/>
      <x:c r="L50" s="128"/>
      <x:c r="M50" s="128"/>
      <x:c r="N50" s="128"/>
      <x:c r="O50" s="128"/>
      <x:c r="P50" s="128"/>
      <x:c r="Q50" s="128"/>
      <x:c r="R50" s="128"/>
      <x:c r="S50" s="128"/>
      <x:c r="T50" s="128"/>
      <x:c r="U50" s="128"/>
      <x:c r="V50" s="128"/>
    </x:row>
    <x:row r="51">
      <x:c r="A51" s="128"/>
      <x:c r="B51" s="128"/>
      <x:c r="C51" s="128"/>
      <x:c r="D51" s="128"/>
      <x:c r="E51" s="128"/>
      <x:c r="F51" s="128"/>
      <x:c r="G51" s="128"/>
      <x:c r="H51" s="128"/>
      <x:c r="I51" s="128"/>
      <x:c r="J51" s="128"/>
      <x:c r="K51" s="128"/>
      <x:c r="L51" s="128"/>
      <x:c r="M51" s="128"/>
      <x:c r="N51" s="128"/>
      <x:c r="O51" s="128"/>
      <x:c r="P51" s="128"/>
      <x:c r="Q51" s="128"/>
      <x:c r="R51" s="128"/>
      <x:c r="S51" s="128"/>
      <x:c r="T51" s="128"/>
      <x:c r="U51" s="128"/>
      <x:c r="V51" s="128"/>
    </x:row>
    <x:row r="52">
      <x:c r="A52" s="128"/>
      <x:c r="B52" s="128"/>
      <x:c r="C52" s="128"/>
      <x:c r="D52" s="128"/>
      <x:c r="E52" s="128"/>
      <x:c r="F52" s="128"/>
      <x:c r="G52" s="128"/>
      <x:c r="H52" s="128"/>
      <x:c r="I52" s="128"/>
      <x:c r="J52" s="128"/>
      <x:c r="K52" s="128"/>
      <x:c r="L52" s="128"/>
      <x:c r="M52" s="128"/>
      <x:c r="N52" s="128"/>
      <x:c r="O52" s="128"/>
      <x:c r="P52" s="128"/>
      <x:c r="Q52" s="128"/>
      <x:c r="R52" s="128"/>
      <x:c r="S52" s="128"/>
      <x:c r="T52" s="128"/>
      <x:c r="U52" s="128"/>
      <x:c r="V52" s="128"/>
    </x:row>
    <x:row r="53">
      <x:c r="A53" s="128"/>
      <x:c r="B53" s="128"/>
      <x:c r="C53" s="128"/>
      <x:c r="D53" s="128"/>
      <x:c r="E53" s="128"/>
      <x:c r="F53" s="128"/>
      <x:c r="G53" s="128"/>
      <x:c r="H53" s="128"/>
      <x:c r="I53" s="128"/>
      <x:c r="J53" s="128"/>
      <x:c r="K53" s="128"/>
      <x:c r="L53" s="128"/>
      <x:c r="M53" s="128"/>
      <x:c r="N53" s="128"/>
      <x:c r="O53" s="128"/>
      <x:c r="P53" s="128"/>
      <x:c r="Q53" s="128"/>
      <x:c r="R53" s="128"/>
      <x:c r="S53" s="128"/>
      <x:c r="T53" s="128"/>
      <x:c r="U53" s="128"/>
      <x:c r="V53" s="128"/>
    </x:row>
    <x:row r="54">
      <x:c r="A54" s="128"/>
      <x:c r="B54" s="128"/>
      <x:c r="C54" s="128"/>
      <x:c r="D54" s="128"/>
      <x:c r="E54" s="128"/>
      <x:c r="F54" s="128"/>
      <x:c r="G54" s="128"/>
      <x:c r="H54" s="128"/>
      <x:c r="I54" s="128"/>
      <x:c r="J54" s="128"/>
      <x:c r="K54" s="128"/>
      <x:c r="L54" s="128"/>
      <x:c r="M54" s="128"/>
      <x:c r="N54" s="128"/>
      <x:c r="O54" s="128"/>
      <x:c r="P54" s="128"/>
      <x:c r="Q54" s="128"/>
      <x:c r="R54" s="128"/>
      <x:c r="S54" s="128"/>
      <x:c r="T54" s="128"/>
      <x:c r="U54" s="128"/>
      <x:c r="V54" s="128"/>
    </x:row>
    <x:row r="55">
      <x:c r="A55" s="128"/>
      <x:c r="B55" s="128"/>
      <x:c r="C55" s="128"/>
      <x:c r="D55" s="128"/>
      <x:c r="E55" s="128"/>
      <x:c r="F55" s="128"/>
      <x:c r="G55" s="128"/>
      <x:c r="H55" s="128"/>
      <x:c r="I55" s="128"/>
      <x:c r="J55" s="128"/>
      <x:c r="K55" s="128"/>
      <x:c r="L55" s="128"/>
      <x:c r="M55" s="128"/>
      <x:c r="N55" s="128"/>
      <x:c r="O55" s="128"/>
      <x:c r="P55" s="128"/>
      <x:c r="Q55" s="128"/>
      <x:c r="R55" s="128"/>
      <x:c r="S55" s="128"/>
      <x:c r="T55" s="128"/>
      <x:c r="U55" s="128"/>
      <x:c r="V55" s="128"/>
    </x:row>
    <x:row r="56">
      <x:c r="A56" s="128"/>
      <x:c r="B56" s="128"/>
      <x:c r="C56" s="128"/>
      <x:c r="D56" s="128"/>
      <x:c r="E56" s="128"/>
      <x:c r="F56" s="128"/>
      <x:c r="G56" s="128"/>
      <x:c r="H56" s="128"/>
      <x:c r="I56" s="128"/>
      <x:c r="J56" s="128"/>
      <x:c r="K56" s="128"/>
      <x:c r="L56" s="128"/>
      <x:c r="M56" s="128"/>
      <x:c r="N56" s="128"/>
      <x:c r="O56" s="128"/>
      <x:c r="P56" s="128"/>
      <x:c r="Q56" s="128"/>
      <x:c r="R56" s="128"/>
      <x:c r="S56" s="128"/>
      <x:c r="T56" s="128"/>
      <x:c r="U56" s="128"/>
      <x:c r="V56" s="128"/>
    </x:row>
    <x:row r="57">
      <x:c r="A57" s="128"/>
      <x:c r="B57" s="128"/>
      <x:c r="C57" s="128"/>
      <x:c r="D57" s="128"/>
      <x:c r="E57" s="128"/>
      <x:c r="F57" s="128"/>
      <x:c r="G57" s="128"/>
      <x:c r="H57" s="128"/>
      <x:c r="I57" s="128"/>
      <x:c r="J57" s="128"/>
      <x:c r="K57" s="128"/>
      <x:c r="L57" s="128"/>
      <x:c r="M57" s="128"/>
      <x:c r="N57" s="128"/>
      <x:c r="O57" s="128"/>
      <x:c r="P57" s="128"/>
      <x:c r="Q57" s="128"/>
      <x:c r="R57" s="128"/>
      <x:c r="S57" s="128"/>
      <x:c r="T57" s="128"/>
      <x:c r="U57" s="128"/>
      <x:c r="V57" s="128"/>
    </x:row>
    <x:row r="58">
      <x:c r="A58" s="128"/>
      <x:c r="B58" s="128"/>
      <x:c r="C58" s="128"/>
      <x:c r="D58" s="128"/>
      <x:c r="E58" s="128"/>
      <x:c r="F58" s="128"/>
      <x:c r="G58" s="128"/>
      <x:c r="H58" s="128"/>
      <x:c r="I58" s="128"/>
      <x:c r="J58" s="128"/>
      <x:c r="K58" s="128"/>
      <x:c r="L58" s="128"/>
      <x:c r="M58" s="128"/>
      <x:c r="N58" s="128"/>
      <x:c r="O58" s="128"/>
      <x:c r="P58" s="128"/>
      <x:c r="Q58" s="128"/>
      <x:c r="R58" s="128"/>
      <x:c r="S58" s="128"/>
      <x:c r="T58" s="128"/>
      <x:c r="U58" s="128"/>
      <x:c r="V58" s="128"/>
    </x:row>
    <x:row r="59">
      <x:c r="A59" s="128"/>
      <x:c r="B59" s="128"/>
      <x:c r="C59" s="128"/>
      <x:c r="D59" s="128"/>
      <x:c r="E59" s="128"/>
      <x:c r="F59" s="128"/>
      <x:c r="G59" s="128"/>
      <x:c r="H59" s="128"/>
      <x:c r="I59" s="128"/>
      <x:c r="J59" s="128"/>
      <x:c r="K59" s="128"/>
      <x:c r="L59" s="128"/>
      <x:c r="M59" s="128"/>
      <x:c r="N59" s="128"/>
      <x:c r="O59" s="128"/>
      <x:c r="P59" s="128"/>
      <x:c r="Q59" s="128"/>
      <x:c r="R59" s="128"/>
      <x:c r="S59" s="128"/>
      <x:c r="T59" s="128"/>
      <x:c r="U59" s="128"/>
      <x:c r="V59" s="128"/>
    </x:row>
    <x:row r="60">
      <x:c r="A60" s="128"/>
      <x:c r="B60" s="128"/>
      <x:c r="C60" s="128"/>
      <x:c r="D60" s="128"/>
      <x:c r="E60" s="128"/>
      <x:c r="F60" s="128"/>
      <x:c r="G60" s="128"/>
      <x:c r="H60" s="128"/>
      <x:c r="I60" s="128"/>
      <x:c r="J60" s="128"/>
      <x:c r="K60" s="128"/>
      <x:c r="L60" s="128"/>
      <x:c r="M60" s="128"/>
      <x:c r="N60" s="128"/>
      <x:c r="O60" s="128"/>
      <x:c r="P60" s="128"/>
      <x:c r="Q60" s="128"/>
      <x:c r="R60" s="128"/>
      <x:c r="S60" s="128"/>
      <x:c r="T60" s="128"/>
      <x:c r="U60" s="128"/>
      <x:c r="V60" s="128"/>
    </x:row>
    <x:row r="61">
      <x:c r="A61" s="128"/>
      <x:c r="B61" s="128"/>
      <x:c r="C61" s="128"/>
      <x:c r="D61" s="128"/>
      <x:c r="E61" s="128"/>
      <x:c r="F61" s="128"/>
      <x:c r="G61" s="128"/>
      <x:c r="H61" s="128"/>
      <x:c r="I61" s="128"/>
      <x:c r="J61" s="128"/>
      <x:c r="K61" s="128"/>
      <x:c r="L61" s="128"/>
      <x:c r="M61" s="128"/>
      <x:c r="N61" s="128"/>
      <x:c r="O61" s="128"/>
      <x:c r="P61" s="128"/>
      <x:c r="Q61" s="128"/>
      <x:c r="R61" s="128"/>
      <x:c r="S61" s="128"/>
      <x:c r="T61" s="128"/>
      <x:c r="U61" s="128"/>
      <x:c r="V61" s="128"/>
    </x:row>
    <x:row r="62">
      <x:c r="A62" s="128"/>
      <x:c r="B62" s="128"/>
      <x:c r="C62" s="128"/>
      <x:c r="D62" s="128"/>
      <x:c r="E62" s="128"/>
      <x:c r="F62" s="128"/>
      <x:c r="G62" s="128"/>
      <x:c r="H62" s="128"/>
      <x:c r="I62" s="128"/>
      <x:c r="J62" s="128"/>
      <x:c r="K62" s="128"/>
      <x:c r="L62" s="128"/>
      <x:c r="M62" s="128"/>
      <x:c r="N62" s="128"/>
      <x:c r="O62" s="128"/>
      <x:c r="P62" s="128"/>
      <x:c r="Q62" s="128"/>
      <x:c r="R62" s="128"/>
      <x:c r="S62" s="128"/>
      <x:c r="T62" s="128"/>
      <x:c r="U62" s="128"/>
      <x:c r="V62" s="128"/>
    </x:row>
    <x:row r="63">
      <x:c r="A63" s="128"/>
      <x:c r="B63" s="128"/>
      <x:c r="C63" s="128"/>
      <x:c r="D63" s="128"/>
      <x:c r="E63" s="128"/>
      <x:c r="F63" s="128"/>
      <x:c r="G63" s="128"/>
      <x:c r="H63" s="128"/>
      <x:c r="I63" s="128"/>
      <x:c r="J63" s="128"/>
      <x:c r="K63" s="128"/>
      <x:c r="L63" s="128"/>
      <x:c r="M63" s="128"/>
      <x:c r="N63" s="128"/>
      <x:c r="O63" s="128"/>
      <x:c r="P63" s="128"/>
      <x:c r="Q63" s="128"/>
      <x:c r="R63" s="128"/>
      <x:c r="S63" s="128"/>
      <x:c r="T63" s="128"/>
      <x:c r="U63" s="128"/>
      <x:c r="V63" s="128"/>
    </x:row>
    <x:row r="64">
      <x:c r="A64" s="128"/>
      <x:c r="B64" s="128"/>
      <x:c r="C64" s="128"/>
      <x:c r="D64" s="128"/>
      <x:c r="E64" s="128"/>
      <x:c r="F64" s="128"/>
      <x:c r="G64" s="128"/>
      <x:c r="H64" s="128"/>
      <x:c r="I64" s="128"/>
      <x:c r="J64" s="128"/>
      <x:c r="K64" s="128"/>
      <x:c r="L64" s="128"/>
      <x:c r="M64" s="128"/>
      <x:c r="N64" s="128"/>
      <x:c r="O64" s="128"/>
      <x:c r="P64" s="128"/>
      <x:c r="Q64" s="128"/>
      <x:c r="R64" s="128"/>
      <x:c r="S64" s="128"/>
      <x:c r="T64" s="128"/>
      <x:c r="U64" s="128"/>
      <x:c r="V64" s="128"/>
    </x:row>
    <x:row r="65">
      <x:c r="A65" s="128"/>
      <x:c r="B65" s="128"/>
      <x:c r="C65" s="128"/>
      <x:c r="D65" s="128"/>
      <x:c r="E65" s="128"/>
      <x:c r="F65" s="128"/>
      <x:c r="G65" s="128"/>
      <x:c r="H65" s="128"/>
      <x:c r="I65" s="128"/>
      <x:c r="J65" s="128"/>
      <x:c r="K65" s="128"/>
      <x:c r="L65" s="128"/>
      <x:c r="M65" s="128"/>
      <x:c r="N65" s="128"/>
      <x:c r="O65" s="128"/>
      <x:c r="P65" s="128"/>
      <x:c r="Q65" s="128"/>
      <x:c r="R65" s="128"/>
      <x:c r="S65" s="128"/>
      <x:c r="T65" s="128"/>
      <x:c r="U65" s="128"/>
      <x:c r="V65" s="128"/>
    </x:row>
    <x:row r="66">
      <x:c r="A66" s="128"/>
      <x:c r="B66" s="128"/>
      <x:c r="C66" s="128"/>
      <x:c r="D66" s="128"/>
      <x:c r="E66" s="128"/>
      <x:c r="F66" s="128"/>
      <x:c r="G66" s="128"/>
      <x:c r="H66" s="128"/>
      <x:c r="I66" s="128"/>
      <x:c r="J66" s="128"/>
      <x:c r="K66" s="128"/>
      <x:c r="L66" s="128"/>
      <x:c r="M66" s="128"/>
      <x:c r="N66" s="128"/>
      <x:c r="O66" s="128"/>
      <x:c r="P66" s="128"/>
      <x:c r="Q66" s="128"/>
      <x:c r="R66" s="128"/>
      <x:c r="S66" s="128"/>
      <x:c r="T66" s="128"/>
      <x:c r="U66" s="128"/>
      <x:c r="V66" s="128"/>
    </x:row>
    <x:row r="67">
      <x:c r="A67" s="128"/>
      <x:c r="B67" s="128"/>
      <x:c r="C67" s="128"/>
      <x:c r="D67" s="128"/>
      <x:c r="E67" s="128"/>
      <x:c r="F67" s="128"/>
      <x:c r="G67" s="128"/>
      <x:c r="H67" s="128"/>
      <x:c r="I67" s="128"/>
      <x:c r="J67" s="128"/>
      <x:c r="K67" s="128"/>
      <x:c r="L67" s="128"/>
      <x:c r="M67" s="128"/>
      <x:c r="N67" s="128"/>
      <x:c r="O67" s="128"/>
      <x:c r="P67" s="128"/>
      <x:c r="Q67" s="128"/>
      <x:c r="R67" s="128"/>
      <x:c r="S67" s="128"/>
      <x:c r="T67" s="128"/>
      <x:c r="U67" s="128"/>
      <x:c r="V67" s="128"/>
    </x:row>
    <x:row r="68">
      <x:c r="A68" s="128"/>
      <x:c r="B68" s="128"/>
      <x:c r="C68" s="128"/>
      <x:c r="D68" s="128"/>
      <x:c r="E68" s="128"/>
      <x:c r="F68" s="128"/>
      <x:c r="G68" s="128"/>
      <x:c r="H68" s="128"/>
      <x:c r="I68" s="128"/>
      <x:c r="J68" s="128"/>
      <x:c r="K68" s="128"/>
      <x:c r="L68" s="128"/>
      <x:c r="M68" s="128"/>
      <x:c r="N68" s="128"/>
      <x:c r="O68" s="128"/>
      <x:c r="P68" s="128"/>
      <x:c r="Q68" s="128"/>
      <x:c r="R68" s="128"/>
      <x:c r="S68" s="128"/>
      <x:c r="T68" s="128"/>
      <x:c r="U68" s="128"/>
      <x:c r="V68" s="128"/>
    </x:row>
    <x:row r="69">
      <x:c r="A69" s="128"/>
      <x:c r="B69" s="128"/>
      <x:c r="C69" s="128"/>
      <x:c r="D69" s="128"/>
      <x:c r="E69" s="128"/>
      <x:c r="F69" s="128"/>
      <x:c r="G69" s="128"/>
      <x:c r="H69" s="128"/>
      <x:c r="I69" s="128"/>
      <x:c r="J69" s="128"/>
      <x:c r="K69" s="128"/>
      <x:c r="L69" s="128"/>
      <x:c r="M69" s="128"/>
      <x:c r="N69" s="128"/>
      <x:c r="O69" s="128"/>
      <x:c r="P69" s="128"/>
      <x:c r="Q69" s="128"/>
      <x:c r="R69" s="128"/>
      <x:c r="S69" s="128"/>
      <x:c r="T69" s="128"/>
      <x:c r="U69" s="128"/>
      <x:c r="V69" s="128"/>
    </x:row>
    <x:row r="70">
      <x:c r="A70" s="128"/>
      <x:c r="B70" s="128"/>
      <x:c r="C70" s="128"/>
      <x:c r="D70" s="128"/>
      <x:c r="E70" s="128"/>
      <x:c r="F70" s="128"/>
      <x:c r="G70" s="128"/>
      <x:c r="H70" s="128"/>
      <x:c r="I70" s="128"/>
      <x:c r="J70" s="128"/>
      <x:c r="K70" s="128"/>
      <x:c r="L70" s="128"/>
      <x:c r="M70" s="128"/>
      <x:c r="N70" s="128"/>
      <x:c r="O70" s="128"/>
      <x:c r="P70" s="128"/>
      <x:c r="Q70" s="128"/>
      <x:c r="R70" s="128"/>
      <x:c r="S70" s="128"/>
      <x:c r="T70" s="128"/>
      <x:c r="U70" s="128"/>
      <x:c r="V70" s="128"/>
    </x:row>
    <x:row r="71">
      <x:c r="A71" s="128"/>
      <x:c r="B71" s="128"/>
      <x:c r="C71" s="128"/>
      <x:c r="D71" s="128"/>
      <x:c r="E71" s="128"/>
      <x:c r="F71" s="128"/>
      <x:c r="G71" s="128"/>
      <x:c r="H71" s="128"/>
      <x:c r="I71" s="128"/>
      <x:c r="J71" s="128"/>
      <x:c r="K71" s="128"/>
      <x:c r="L71" s="128"/>
      <x:c r="M71" s="128"/>
      <x:c r="N71" s="128"/>
      <x:c r="O71" s="128"/>
      <x:c r="P71" s="128"/>
      <x:c r="Q71" s="128"/>
      <x:c r="R71" s="128"/>
      <x:c r="S71" s="128"/>
      <x:c r="T71" s="128"/>
      <x:c r="U71" s="128"/>
      <x:c r="V71" s="128"/>
    </x:row>
    <x:row r="72">
      <x:c r="A72" s="128"/>
      <x:c r="B72" s="128"/>
      <x:c r="C72" s="128"/>
      <x:c r="D72" s="128"/>
      <x:c r="E72" s="128"/>
      <x:c r="F72" s="128"/>
      <x:c r="G72" s="128"/>
      <x:c r="H72" s="128"/>
      <x:c r="I72" s="128"/>
      <x:c r="J72" s="128"/>
      <x:c r="K72" s="128"/>
      <x:c r="L72" s="128"/>
      <x:c r="M72" s="128"/>
      <x:c r="N72" s="128"/>
      <x:c r="O72" s="128"/>
      <x:c r="P72" s="128"/>
      <x:c r="Q72" s="128"/>
      <x:c r="R72" s="128"/>
      <x:c r="S72" s="128"/>
      <x:c r="T72" s="128"/>
      <x:c r="U72" s="128"/>
      <x:c r="V72" s="128"/>
    </x:row>
    <x:row r="73">
      <x:c r="A73" s="128"/>
      <x:c r="B73" s="128"/>
      <x:c r="C73" s="128"/>
      <x:c r="D73" s="128"/>
      <x:c r="E73" s="128"/>
      <x:c r="F73" s="128"/>
      <x:c r="G73" s="128"/>
      <x:c r="H73" s="128"/>
      <x:c r="I73" s="128"/>
      <x:c r="J73" s="128"/>
      <x:c r="K73" s="128"/>
      <x:c r="L73" s="128"/>
      <x:c r="M73" s="128"/>
      <x:c r="N73" s="128"/>
      <x:c r="O73" s="128"/>
      <x:c r="P73" s="128"/>
      <x:c r="Q73" s="128"/>
      <x:c r="R73" s="128"/>
      <x:c r="S73" s="128"/>
      <x:c r="T73" s="128"/>
      <x:c r="U73" s="128"/>
      <x:c r="V73" s="128"/>
    </x:row>
    <x:row r="74">
      <x:c r="A74" s="128"/>
      <x:c r="B74" s="128"/>
      <x:c r="C74" s="128"/>
      <x:c r="D74" s="128"/>
      <x:c r="E74" s="128"/>
      <x:c r="F74" s="128"/>
      <x:c r="G74" s="128"/>
      <x:c r="H74" s="128"/>
      <x:c r="I74" s="128"/>
      <x:c r="J74" s="128"/>
      <x:c r="K74" s="128"/>
      <x:c r="L74" s="128"/>
      <x:c r="M74" s="128"/>
      <x:c r="N74" s="128"/>
      <x:c r="O74" s="128"/>
      <x:c r="P74" s="128"/>
      <x:c r="Q74" s="128"/>
      <x:c r="R74" s="128"/>
      <x:c r="S74" s="128"/>
      <x:c r="T74" s="128"/>
      <x:c r="U74" s="128"/>
      <x:c r="V74" s="128"/>
    </x:row>
    <x:row r="75">
      <x:c r="A75" s="128"/>
      <x:c r="B75" s="128"/>
      <x:c r="C75" s="128"/>
      <x:c r="D75" s="128"/>
      <x:c r="E75" s="128"/>
      <x:c r="F75" s="128"/>
      <x:c r="G75" s="128"/>
      <x:c r="H75" s="128"/>
      <x:c r="I75" s="128"/>
      <x:c r="J75" s="128"/>
      <x:c r="K75" s="128"/>
      <x:c r="L75" s="128"/>
      <x:c r="M75" s="128"/>
      <x:c r="N75" s="128"/>
      <x:c r="O75" s="128"/>
      <x:c r="P75" s="128"/>
      <x:c r="Q75" s="128"/>
      <x:c r="R75" s="128"/>
      <x:c r="S75" s="128"/>
      <x:c r="T75" s="128"/>
      <x:c r="U75" s="128"/>
      <x:c r="V75" s="128"/>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s>
  <x:sheetData>
    <x:row r="1">
      <x:c r="A1" s="129" t="str">
        <x:v>Five-year liquidity path</x:v>
      </x:c>
      <x:c r="B1" s="128"/>
      <x:c r="C1" s="128"/>
      <x:c r="D1" s="128"/>
      <x:c r="E1" s="128"/>
      <x:c r="F1" s="128"/>
      <x:c r="G1" s="128"/>
      <x:c r="H1" s="128"/>
      <x:c r="I1" s="128"/>
      <x:c r="J1" s="128"/>
      <x:c r="K1" s="128"/>
      <x:c r="L1" s="128"/>
      <x:c r="M1" s="128"/>
      <x:c r="N1" s="128"/>
      <x:c r="O1" s="128"/>
      <x:c r="P1" s="128"/>
      <x:c r="Q1" s="128"/>
      <x:c r="R1" s="128"/>
      <x:c r="S1" s="128"/>
      <x:c r="T1" s="128"/>
      <x:c r="U1" s="128"/>
      <x:c r="V1" s="128"/>
    </x:row>
    <x:row r="2" ht="32" customHeight="1">
      <x:c r="A2" s="128" t="str">
        <x:v>Cash fixed charges plus full cash puts. All dollars in millions. Unfunded amounts remain visible; no automatic refinancing.</x:v>
      </x:c>
      <x:c r="B2" s="128"/>
      <x:c r="C2" s="128"/>
      <x:c r="D2" s="128"/>
      <x:c r="E2" s="128"/>
      <x:c r="F2" s="128"/>
      <x:c r="G2" s="128"/>
      <x:c r="H2" s="128"/>
      <x:c r="I2" s="128"/>
      <x:c r="J2" s="128"/>
      <x:c r="K2" s="128"/>
      <x:c r="L2" s="128"/>
      <x:c r="M2" s="128"/>
      <x:c r="N2" s="128"/>
      <x:c r="O2" s="128"/>
      <x:c r="P2" s="128"/>
      <x:c r="Q2" s="128"/>
      <x:c r="R2" s="128"/>
      <x:c r="S2" s="128"/>
      <x:c r="T2" s="128"/>
      <x:c r="U2" s="128"/>
      <x:c r="V2" s="128"/>
    </x:row>
    <x:row r="3">
      <x:c r="A3" s="128" t="str">
        <x:v>Case selected</x:v>
      </x:c>
      <x:c r="B3" s="128" t="str">
        <x:f>Scenario_Select</x:f>
        <x:v>Base</x:v>
      </x:c>
      <x:c r="C3" s="128"/>
      <x:c r="D3" s="128"/>
      <x:c r="E3" s="128"/>
      <x:c r="F3" s="128"/>
      <x:c r="G3" s="128"/>
      <x:c r="H3" s="128"/>
      <x:c r="I3" s="128"/>
      <x:c r="J3" s="128"/>
      <x:c r="K3" s="128"/>
      <x:c r="L3" s="128"/>
      <x:c r="M3" s="128"/>
      <x:c r="N3" s="128"/>
      <x:c r="O3" s="128"/>
      <x:c r="P3" s="128"/>
      <x:c r="Q3" s="128"/>
      <x:c r="R3" s="128"/>
      <x:c r="S3" s="128"/>
      <x:c r="T3" s="128"/>
      <x:c r="U3" s="128"/>
      <x:c r="V3" s="128"/>
    </x:row>
    <x:row r="4" ht="36" customHeight="1">
      <x:c r="A4" s="132" t="str">
        <x:v>Path assumption</x:v>
      </x:c>
      <x:c r="B4" s="132" t="str">
        <x:v>Value</x:v>
      </x:c>
      <x:c r="C4" s="132" t="str">
        <x:v>Basis</x:v>
      </x:c>
      <x:c r="D4" s="128"/>
      <x:c r="E4" s="128"/>
      <x:c r="F4" s="128"/>
      <x:c r="G4" s="128"/>
      <x:c r="H4" s="128"/>
      <x:c r="I4" s="128"/>
      <x:c r="J4" s="128"/>
      <x:c r="K4" s="128"/>
      <x:c r="L4" s="128"/>
      <x:c r="M4" s="128"/>
      <x:c r="N4" s="128"/>
      <x:c r="O4" s="128"/>
      <x:c r="P4" s="128"/>
      <x:c r="Q4" s="128"/>
      <x:c r="R4" s="128"/>
      <x:c r="S4" s="128"/>
      <x:c r="T4" s="128"/>
      <x:c r="U4" s="128"/>
      <x:c r="V4" s="128"/>
    </x:row>
    <x:row r="5">
      <x:c r="A5" s="128" t="str">
        <x:v>BTC annual recovery after initial shock</x:v>
      </x:c>
      <x:c r="B5" s="143" t="n">
        <x:v>0</x:v>
      </x:c>
      <x:c r="C5" s="128" t="str">
        <x:v>Model assumption</x:v>
      </x:c>
      <x:c r="D5" s="128"/>
      <x:c r="E5" s="128"/>
      <x:c r="F5" s="128"/>
      <x:c r="G5" s="128"/>
      <x:c r="H5" s="128"/>
      <x:c r="I5" s="128"/>
      <x:c r="J5" s="128"/>
      <x:c r="K5" s="128"/>
      <x:c r="L5" s="128"/>
      <x:c r="M5" s="128"/>
      <x:c r="N5" s="128"/>
      <x:c r="O5" s="128"/>
      <x:c r="P5" s="128"/>
      <x:c r="Q5" s="128"/>
      <x:c r="R5" s="128"/>
      <x:c r="S5" s="128"/>
      <x:c r="T5" s="128"/>
      <x:c r="U5" s="128"/>
      <x:c r="V5" s="128"/>
    </x:row>
    <x:row r="6">
      <x:c r="A6" s="128" t="str">
        <x:v>Premium sensitivity to log BTC change</x:v>
      </x:c>
      <x:c r="B6" s="133" t="n">
        <x:v>0.6</x:v>
      </x:c>
      <x:c r="C6" s="128" t="str">
        <x:v>Model assumption</x:v>
      </x:c>
      <x:c r="D6" s="128"/>
      <x:c r="E6" s="128"/>
      <x:c r="F6" s="128"/>
      <x:c r="G6" s="128"/>
      <x:c r="H6" s="128"/>
      <x:c r="I6" s="128"/>
      <x:c r="J6" s="128"/>
      <x:c r="K6" s="128"/>
      <x:c r="L6" s="128"/>
      <x:c r="M6" s="128"/>
      <x:c r="N6" s="128"/>
      <x:c r="O6" s="128"/>
      <x:c r="P6" s="128"/>
      <x:c r="Q6" s="128"/>
      <x:c r="R6" s="128"/>
      <x:c r="S6" s="128"/>
      <x:c r="T6" s="128"/>
      <x:c r="U6" s="128"/>
      <x:c r="V6" s="128"/>
    </x:row>
    <x:row r="7">
      <x:c r="A7" s="128" t="str">
        <x:v>Demand sensitivity to BTC drawdown</x:v>
      </x:c>
      <x:c r="B7" s="133" t="n">
        <x:v>1</x:v>
      </x:c>
      <x:c r="C7" s="128" t="str">
        <x:v>Model assumption</x:v>
      </x:c>
      <x:c r="D7" s="128"/>
      <x:c r="E7" s="128"/>
      <x:c r="F7" s="128"/>
      <x:c r="G7" s="128"/>
      <x:c r="H7" s="128"/>
      <x:c r="I7" s="128"/>
      <x:c r="J7" s="128"/>
      <x:c r="K7" s="128"/>
      <x:c r="L7" s="128"/>
      <x:c r="M7" s="128"/>
      <x:c r="N7" s="128"/>
      <x:c r="O7" s="128"/>
      <x:c r="P7" s="128"/>
      <x:c r="Q7" s="128"/>
      <x:c r="R7" s="128"/>
      <x:c r="S7" s="128"/>
      <x:c r="T7" s="128"/>
      <x:c r="U7" s="128"/>
      <x:c r="V7" s="128"/>
    </x:row>
    <x:row r="8">
      <x:c r="A8" s="128" t="str">
        <x:v>Premium cushion for demand factor</x:v>
      </x:c>
      <x:c r="B8" s="133" t="n">
        <x:v>0.25</x:v>
      </x:c>
      <x:c r="C8" s="128" t="str">
        <x:v>Model assumption</x:v>
      </x:c>
      <x:c r="D8" s="128"/>
      <x:c r="E8" s="128"/>
      <x:c r="F8" s="128"/>
      <x:c r="G8" s="128"/>
      <x:c r="H8" s="128"/>
      <x:c r="I8" s="128"/>
      <x:c r="J8" s="128"/>
      <x:c r="K8" s="128"/>
      <x:c r="L8" s="128"/>
      <x:c r="M8" s="128"/>
      <x:c r="N8" s="128"/>
      <x:c r="O8" s="128"/>
      <x:c r="P8" s="128"/>
      <x:c r="Q8" s="128"/>
      <x:c r="R8" s="128"/>
      <x:c r="S8" s="128"/>
      <x:c r="T8" s="128"/>
      <x:c r="U8" s="128"/>
      <x:c r="V8" s="128"/>
    </x:row>
    <x:row r="9">
      <x:c r="A9" s="128" t="str">
        <x:v>Cash put election, 1 = all puts</x:v>
      </x:c>
      <x:c r="B9" s="133" t="n">
        <x:v>1</x:v>
      </x:c>
      <x:c r="C9" s="128" t="str">
        <x:v>Model assumption</x:v>
      </x:c>
      <x:c r="D9" s="128"/>
      <x:c r="E9" s="128"/>
      <x:c r="F9" s="128"/>
      <x:c r="G9" s="128"/>
      <x:c r="H9" s="128"/>
      <x:c r="I9" s="128"/>
      <x:c r="J9" s="128"/>
      <x:c r="K9" s="128"/>
      <x:c r="L9" s="128"/>
      <x:c r="M9" s="128"/>
      <x:c r="N9" s="128"/>
      <x:c r="O9" s="128"/>
      <x:c r="P9" s="128"/>
      <x:c r="Q9" s="128"/>
      <x:c r="R9" s="128"/>
      <x:c r="S9" s="128"/>
      <x:c r="T9" s="128"/>
      <x:c r="U9" s="128"/>
      <x:c r="V9" s="128"/>
    </x:row>
    <x:row r="10">
      <x:c r="A10" s="128" t="str">
        <x:v>Issuance transaction cost</x:v>
      </x:c>
      <x:c r="B10" s="143" t="n">
        <x:v>0.01</x:v>
      </x:c>
      <x:c r="C10" s="128" t="str">
        <x:v>Model assumption</x:v>
      </x:c>
      <x:c r="D10" s="128"/>
      <x:c r="E10" s="128"/>
      <x:c r="F10" s="128"/>
      <x:c r="G10" s="128"/>
      <x:c r="H10" s="128"/>
      <x:c r="I10" s="128"/>
      <x:c r="J10" s="128"/>
      <x:c r="K10" s="128"/>
      <x:c r="L10" s="128"/>
      <x:c r="M10" s="128"/>
      <x:c r="N10" s="128"/>
      <x:c r="O10" s="128"/>
      <x:c r="P10" s="128"/>
      <x:c r="Q10" s="128"/>
      <x:c r="R10" s="128"/>
      <x:c r="S10" s="128"/>
      <x:c r="T10" s="128"/>
      <x:c r="U10" s="128"/>
      <x:c r="V10" s="128"/>
    </x:row>
    <x:row r="11">
      <x:c r="A11" s="128" t="str">
        <x:v>STRC monthly VWAP assumption</x:v>
      </x:c>
      <x:c r="B11" s="133" t="n">
        <x:v>99.5</x:v>
      </x:c>
      <x:c r="C11" s="128" t="str">
        <x:v>Model assumption</x:v>
      </x:c>
      <x:c r="D11" s="128"/>
      <x:c r="E11" s="128"/>
      <x:c r="F11" s="128"/>
      <x:c r="G11" s="128"/>
      <x:c r="H11" s="128"/>
      <x:c r="I11" s="128"/>
      <x:c r="J11" s="128"/>
      <x:c r="K11" s="128"/>
      <x:c r="L11" s="128"/>
      <x:c r="M11" s="128"/>
      <x:c r="N11" s="128"/>
      <x:c r="O11" s="128"/>
      <x:c r="P11" s="128"/>
      <x:c r="Q11" s="128"/>
      <x:c r="R11" s="128"/>
      <x:c r="S11" s="128"/>
      <x:c r="T11" s="128"/>
      <x:c r="U11" s="128"/>
      <x:c r="V11" s="128"/>
    </x:row>
    <x:row r="12">
      <x:c r="A12" s="128" t="str">
        <x:v>Use February rate framework? 1=yes</x:v>
      </x:c>
      <x:c r="B12" s="133" t="n">
        <x:v>0</x:v>
      </x:c>
      <x:c r="C12" s="128" t="str">
        <x:v>https://www.strategy.com/press/strategy-announces-digital-credit-capital-framework_06-29-2026</x:v>
      </x:c>
      <x:c r="D12" s="128"/>
      <x:c r="E12" s="128"/>
      <x:c r="F12" s="128"/>
      <x:c r="G12" s="128"/>
      <x:c r="H12" s="128"/>
      <x:c r="I12" s="128"/>
      <x:c r="J12" s="128"/>
      <x:c r="K12" s="128"/>
      <x:c r="L12" s="128"/>
      <x:c r="M12" s="128"/>
      <x:c r="N12" s="128"/>
      <x:c r="O12" s="128"/>
      <x:c r="P12" s="128"/>
      <x:c r="Q12" s="128"/>
      <x:c r="R12" s="128"/>
      <x:c r="S12" s="128"/>
      <x:c r="T12" s="128"/>
      <x:c r="U12" s="128"/>
      <x:c r="V12" s="128"/>
    </x:row>
    <x:row r="13">
      <x:c r="A13" s="128" t="str">
        <x:v>Rate increase below $95</x:v>
      </x:c>
      <x:c r="B13" s="144" t="n">
        <x:v>0.005</x:v>
      </x:c>
      <x:c r="C13" s="128" t="str">
        <x:v>https://www.strategy.com/press/strategy-announces-fourth-quarter-2025-financial-results_02-05-2026</x:v>
      </x:c>
      <x:c r="D13" s="128"/>
      <x:c r="E13" s="128"/>
      <x:c r="F13" s="128"/>
      <x:c r="G13" s="128"/>
      <x:c r="H13" s="128"/>
      <x:c r="I13" s="128"/>
      <x:c r="J13" s="128"/>
      <x:c r="K13" s="128"/>
      <x:c r="L13" s="128"/>
      <x:c r="M13" s="128"/>
      <x:c r="N13" s="128"/>
      <x:c r="O13" s="128"/>
      <x:c r="P13" s="128"/>
      <x:c r="Q13" s="128"/>
      <x:c r="R13" s="128"/>
      <x:c r="S13" s="128"/>
      <x:c r="T13" s="128"/>
      <x:c r="U13" s="128"/>
      <x:c r="V13" s="128"/>
    </x:row>
    <x:row r="14">
      <x:c r="A14" s="128" t="str">
        <x:v>Rate increase $95 to &lt;$99</x:v>
      </x:c>
      <x:c r="B14" s="144" t="n">
        <x:v>0.0025</x:v>
      </x:c>
      <x:c r="C14" s="128" t="str">
        <x:v>Model assumption</x:v>
      </x:c>
      <x:c r="D14" s="128"/>
      <x:c r="E14" s="128"/>
      <x:c r="F14" s="128"/>
      <x:c r="G14" s="128"/>
      <x:c r="H14" s="128"/>
      <x:c r="I14" s="128"/>
      <x:c r="J14" s="128"/>
      <x:c r="K14" s="128"/>
      <x:c r="L14" s="128"/>
      <x:c r="M14" s="128"/>
      <x:c r="N14" s="128"/>
      <x:c r="O14" s="128"/>
      <x:c r="P14" s="128"/>
      <x:c r="Q14" s="128"/>
      <x:c r="R14" s="128"/>
      <x:c r="S14" s="128"/>
      <x:c r="T14" s="128"/>
      <x:c r="U14" s="128"/>
      <x:c r="V14" s="128"/>
    </x:row>
    <x:row r="15">
      <x:c r="A15" s="128" t="str">
        <x:v>Rate decrease at &gt;=$101</x:v>
      </x:c>
      <x:c r="B15" s="144" t="n">
        <x:v>-0.0025</x:v>
      </x:c>
      <x:c r="C15" s="128" t="str">
        <x:v>Model assumption</x:v>
      </x:c>
      <x:c r="D15" s="128"/>
      <x:c r="E15" s="128"/>
      <x:c r="F15" s="128"/>
      <x:c r="G15" s="128"/>
      <x:c r="H15" s="128"/>
      <x:c r="I15" s="128"/>
      <x:c r="J15" s="128"/>
      <x:c r="K15" s="128"/>
      <x:c r="L15" s="128"/>
      <x:c r="M15" s="128"/>
      <x:c r="N15" s="128"/>
      <x:c r="O15" s="128"/>
      <x:c r="P15" s="128"/>
      <x:c r="Q15" s="128"/>
      <x:c r="R15" s="128"/>
      <x:c r="S15" s="128"/>
      <x:c r="T15" s="128"/>
      <x:c r="U15" s="128"/>
      <x:c r="V15" s="128"/>
    </x:row>
    <x:row r="16">
      <x:c r="A16" s="128" t="str">
        <x:v>Illustrative rate floor</x:v>
      </x:c>
      <x:c r="B16" s="144" t="n">
        <x:v>0</x:v>
      </x:c>
      <x:c r="C16" s="128" t="str">
        <x:v>Model assumption</x:v>
      </x:c>
      <x:c r="D16" s="128"/>
      <x:c r="E16" s="128"/>
      <x:c r="F16" s="128"/>
      <x:c r="G16" s="128"/>
      <x:c r="H16" s="128"/>
      <x:c r="I16" s="128"/>
      <x:c r="J16" s="128"/>
      <x:c r="K16" s="128"/>
      <x:c r="L16" s="128"/>
      <x:c r="M16" s="128"/>
      <x:c r="N16" s="128"/>
      <x:c r="O16" s="128"/>
      <x:c r="P16" s="128"/>
      <x:c r="Q16" s="128"/>
      <x:c r="R16" s="128"/>
      <x:c r="S16" s="128"/>
      <x:c r="T16" s="128"/>
      <x:c r="U16" s="128"/>
      <x:c r="V16" s="128"/>
    </x:row>
    <x:row r="17">
      <x:c r="A17" s="128" t="str">
        <x:v>Illustrative rate ceiling</x:v>
      </x:c>
      <x:c r="B17" s="144" t="n">
        <x:v>0.2</x:v>
      </x:c>
      <x:c r="C17" s="128" t="str">
        <x:v>Model assumption</x:v>
      </x:c>
      <x:c r="D17" s="128"/>
      <x:c r="E17" s="128"/>
      <x:c r="F17" s="128"/>
      <x:c r="G17" s="128"/>
      <x:c r="H17" s="128"/>
      <x:c r="I17" s="128"/>
      <x:c r="J17" s="128"/>
      <x:c r="K17" s="128"/>
      <x:c r="L17" s="128"/>
      <x:c r="M17" s="128"/>
      <x:c r="N17" s="128"/>
      <x:c r="O17" s="128"/>
      <x:c r="P17" s="128"/>
      <x:c r="Q17" s="128"/>
      <x:c r="R17" s="128"/>
      <x:c r="S17" s="128"/>
      <x:c r="T17" s="128"/>
      <x:c r="U17" s="128"/>
      <x:c r="V17" s="128"/>
    </x:row>
    <x:row r="18">
      <x:c r="A18" s="128"/>
      <x:c r="B18" s="128"/>
      <x:c r="C18" s="128"/>
      <x:c r="D18" s="128"/>
      <x:c r="E18" s="128"/>
      <x:c r="F18" s="128"/>
      <x:c r="G18" s="128"/>
      <x:c r="H18" s="128"/>
      <x:c r="I18" s="128"/>
      <x:c r="J18" s="128"/>
      <x:c r="K18" s="128"/>
      <x:c r="L18" s="128"/>
      <x:c r="M18" s="128"/>
      <x:c r="N18" s="128"/>
      <x:c r="O18" s="128"/>
      <x:c r="P18" s="128"/>
      <x:c r="Q18" s="128"/>
      <x:c r="R18" s="128"/>
      <x:c r="S18" s="128"/>
      <x:c r="T18" s="128"/>
      <x:c r="U18" s="128"/>
      <x:c r="V18" s="128"/>
    </x:row>
    <x:row r="19">
      <x:c r="A19" s="128" t="str">
        <x:v>Rate rule is an optional illustration. Current announced rate is default; later hold-near-par policy supersedes February bands.</x:v>
      </x:c>
      <x:c r="B19" s="128"/>
      <x:c r="C19" s="128"/>
      <x:c r="D19" s="128"/>
      <x:c r="E19" s="128"/>
      <x:c r="F19" s="128"/>
      <x:c r="G19" s="128"/>
      <x:c r="H19" s="128"/>
      <x:c r="I19" s="128"/>
      <x:c r="J19" s="128"/>
      <x:c r="K19" s="128"/>
      <x:c r="L19" s="128"/>
      <x:c r="M19" s="128"/>
      <x:c r="N19" s="128"/>
      <x:c r="O19" s="128"/>
      <x:c r="P19" s="128"/>
      <x:c r="Q19" s="128"/>
      <x:c r="R19" s="128"/>
      <x:c r="S19" s="128"/>
      <x:c r="T19" s="128"/>
      <x:c r="U19" s="128"/>
      <x:c r="V19" s="128"/>
    </x:row>
    <x:row r="20">
      <x:c r="A20" s="128" t="str">
        <x:v>Framework uses monthly VWAP, not the last trade. Three monthly steps per full quarter; no market-price feedback forecast.</x:v>
      </x:c>
      <x:c r="B20" s="128"/>
      <x:c r="C20" s="128"/>
      <x:c r="D20" s="128"/>
      <x:c r="E20" s="128"/>
      <x:c r="F20" s="128"/>
      <x:c r="G20" s="128"/>
      <x:c r="H20" s="128"/>
      <x:c r="I20" s="128"/>
      <x:c r="J20" s="128"/>
      <x:c r="K20" s="128"/>
      <x:c r="L20" s="128"/>
      <x:c r="M20" s="128"/>
      <x:c r="N20" s="128"/>
      <x:c r="O20" s="128"/>
      <x:c r="P20" s="128"/>
      <x:c r="Q20" s="128"/>
      <x:c r="R20" s="128"/>
      <x:c r="S20" s="128"/>
      <x:c r="T20" s="128"/>
      <x:c r="U20" s="128"/>
      <x:c r="V20" s="128"/>
    </x:row>
    <x:row r="21">
      <x:c r="A21" s="128" t="str">
        <x:v>STRC rule sources: February results and June capital framework. Ceiling/floor and fixed VWAP are model assumptions.</x:v>
      </x:c>
      <x:c r="B21" s="128"/>
      <x:c r="C21" s="128"/>
      <x:c r="D21" s="128"/>
      <x:c r="E21" s="128"/>
      <x:c r="F21" s="128"/>
      <x:c r="G21" s="128"/>
      <x:c r="H21" s="128"/>
      <x:c r="I21" s="128"/>
      <x:c r="J21" s="128"/>
      <x:c r="K21" s="128"/>
      <x:c r="L21" s="128"/>
      <x:c r="M21" s="128"/>
      <x:c r="N21" s="128"/>
      <x:c r="O21" s="128"/>
      <x:c r="P21" s="128"/>
      <x:c r="Q21" s="128"/>
      <x:c r="R21" s="128"/>
      <x:c r="S21" s="128"/>
      <x:c r="T21" s="128"/>
      <x:c r="U21" s="128"/>
      <x:c r="V21" s="128"/>
    </x:row>
    <x:row r="22">
      <x:c r="A22" s="128"/>
      <x:c r="B22" s="128"/>
      <x:c r="C22" s="128"/>
      <x:c r="D22" s="128"/>
      <x:c r="E22" s="128"/>
      <x:c r="F22" s="128"/>
      <x:c r="G22" s="128"/>
      <x:c r="H22" s="128"/>
      <x:c r="I22" s="128"/>
      <x:c r="J22" s="128"/>
      <x:c r="K22" s="128"/>
      <x:c r="L22" s="128"/>
      <x:c r="M22" s="128"/>
      <x:c r="N22" s="128"/>
      <x:c r="O22" s="128"/>
      <x:c r="P22" s="128"/>
      <x:c r="Q22" s="128"/>
      <x:c r="R22" s="128"/>
      <x:c r="S22" s="128"/>
      <x:c r="T22" s="128"/>
      <x:c r="U22" s="128"/>
      <x:c r="V22" s="128"/>
    </x:row>
    <x:row r="23">
      <x:c r="A23" s="128"/>
      <x:c r="B23" s="128"/>
      <x:c r="C23" s="128"/>
      <x:c r="D23" s="128"/>
      <x:c r="E23" s="128"/>
      <x:c r="F23" s="128"/>
      <x:c r="G23" s="128"/>
      <x:c r="H23" s="128"/>
      <x:c r="I23" s="128"/>
      <x:c r="J23" s="128"/>
      <x:c r="K23" s="128"/>
      <x:c r="L23" s="128"/>
      <x:c r="M23" s="128"/>
      <x:c r="N23" s="128"/>
      <x:c r="O23" s="128"/>
      <x:c r="P23" s="128"/>
      <x:c r="Q23" s="128"/>
      <x:c r="R23" s="128"/>
      <x:c r="S23" s="128"/>
      <x:c r="T23" s="128"/>
      <x:c r="U23" s="128"/>
      <x:c r="V23" s="128"/>
    </x:row>
    <x:row r="24">
      <x:c r="A24" s="146" t="str">
        <x:v>Quarter end</x:v>
      </x:c>
      <x:c r="B24" s="147" t="d">
        <x:v>2026-12-31T00:00:00.000Z</x:v>
      </x:c>
      <x:c r="C24" s="147" t="d">
        <x:v>2027-03-31T00:00:00.000Z</x:v>
      </x:c>
      <x:c r="D24" s="147" t="d">
        <x:v>2027-06-30T00:00:00.000Z</x:v>
      </x:c>
      <x:c r="E24" s="147" t="d">
        <x:v>2027-09-30T00:00:00.000Z</x:v>
      </x:c>
      <x:c r="F24" s="147" t="d">
        <x:v>2027-12-31T00:00:00.000Z</x:v>
      </x:c>
      <x:c r="G24" s="147" t="d">
        <x:v>2028-03-31T00:00:00.000Z</x:v>
      </x:c>
      <x:c r="H24" s="147" t="d">
        <x:v>2028-06-30T00:00:00.000Z</x:v>
      </x:c>
      <x:c r="I24" s="147" t="d">
        <x:v>2028-09-30T00:00:00.000Z</x:v>
      </x:c>
      <x:c r="J24" s="147" t="d">
        <x:v>2028-12-31T00:00:00.000Z</x:v>
      </x:c>
      <x:c r="K24" s="147" t="d">
        <x:v>2029-03-31T00:00:00.000Z</x:v>
      </x:c>
      <x:c r="L24" s="147" t="d">
        <x:v>2029-06-30T00:00:00.000Z</x:v>
      </x:c>
      <x:c r="M24" s="147" t="d">
        <x:v>2029-09-30T00:00:00.000Z</x:v>
      </x:c>
      <x:c r="N24" s="147" t="d">
        <x:v>2029-12-31T00:00:00.000Z</x:v>
      </x:c>
      <x:c r="O24" s="147" t="d">
        <x:v>2030-03-31T00:00:00.000Z</x:v>
      </x:c>
      <x:c r="P24" s="147" t="d">
        <x:v>2030-06-30T00:00:00.000Z</x:v>
      </x:c>
      <x:c r="Q24" s="147" t="d">
        <x:v>2030-09-30T00:00:00.000Z</x:v>
      </x:c>
      <x:c r="R24" s="147" t="d">
        <x:v>2030-12-31T00:00:00.000Z</x:v>
      </x:c>
      <x:c r="S24" s="147" t="d">
        <x:v>2031-03-31T00:00:00.000Z</x:v>
      </x:c>
      <x:c r="T24" s="147" t="d">
        <x:v>2031-06-30T00:00:00.000Z</x:v>
      </x:c>
      <x:c r="U24" s="147" t="d">
        <x:v>2031-09-30T00:00:00.000Z</x:v>
      </x:c>
      <x:c r="V24" s="128"/>
    </x:row>
    <x:row r="25">
      <x:c r="A25" s="128" t="str">
        <x:v>Quarter starts</x:v>
      </x:c>
      <x:c r="B25" s="134" t="n">
        <x:f>DATE(2026,10,16)</x:f>
        <x:v>46311</x:v>
      </x:c>
      <x:c r="C25" s="134" t="n">
        <x:f>B24+1</x:f>
        <x:v>46388</x:v>
      </x:c>
      <x:c r="D25" s="134" t="n">
        <x:f>C24+1</x:f>
        <x:v>46478</x:v>
      </x:c>
      <x:c r="E25" s="134" t="n">
        <x:f>D24+1</x:f>
        <x:v>46569</x:v>
      </x:c>
      <x:c r="F25" s="134" t="n">
        <x:f>E24+1</x:f>
        <x:v>46661</x:v>
      </x:c>
      <x:c r="G25" s="134" t="n">
        <x:f>F24+1</x:f>
        <x:v>46753</x:v>
      </x:c>
      <x:c r="H25" s="134" t="n">
        <x:f>G24+1</x:f>
        <x:v>46844</x:v>
      </x:c>
      <x:c r="I25" s="134" t="n">
        <x:f>H24+1</x:f>
        <x:v>46935</x:v>
      </x:c>
      <x:c r="J25" s="134" t="n">
        <x:f>I24+1</x:f>
        <x:v>47027</x:v>
      </x:c>
      <x:c r="K25" s="134" t="n">
        <x:f>J24+1</x:f>
        <x:v>47119</x:v>
      </x:c>
      <x:c r="L25" s="134" t="n">
        <x:f>K24+1</x:f>
        <x:v>47209</x:v>
      </x:c>
      <x:c r="M25" s="134" t="n">
        <x:f>L24+1</x:f>
        <x:v>47300</x:v>
      </x:c>
      <x:c r="N25" s="134" t="n">
        <x:f>M24+1</x:f>
        <x:v>47392</x:v>
      </x:c>
      <x:c r="O25" s="134" t="n">
        <x:f>N24+1</x:f>
        <x:v>47484</x:v>
      </x:c>
      <x:c r="P25" s="134" t="n">
        <x:f>O24+1</x:f>
        <x:v>47574</x:v>
      </x:c>
      <x:c r="Q25" s="134" t="n">
        <x:f>P24+1</x:f>
        <x:v>47665</x:v>
      </x:c>
      <x:c r="R25" s="134" t="n">
        <x:f>Q24+1</x:f>
        <x:v>47757</x:v>
      </x:c>
      <x:c r="S25" s="134" t="n">
        <x:f>R24+1</x:f>
        <x:v>47849</x:v>
      </x:c>
      <x:c r="T25" s="134" t="n">
        <x:f>S24+1</x:f>
        <x:v>47939</x:v>
      </x:c>
      <x:c r="U25" s="134" t="n">
        <x:f>T24+1</x:f>
        <x:v>48030</x:v>
      </x:c>
      <x:c r="V25" s="128"/>
    </x:row>
    <x:row r="26">
      <x:c r="A26" s="128" t="str">
        <x:v>Year fraction</x:v>
      </x:c>
      <x:c r="B26" s="145" t="n">
        <x:f>(B24-B25+1)/365.25</x:f>
        <x:v>0.2108145106091718</x:v>
      </x:c>
      <x:c r="C26" s="145" t="n">
        <x:f>(C24-C25+1)/365.25</x:f>
        <x:v>0.2464065708418891</x:v>
      </x:c>
      <x:c r="D26" s="145" t="n">
        <x:f>(D24-D25+1)/365.25</x:f>
        <x:v>0.24914442162902123</x:v>
      </x:c>
      <x:c r="E26" s="145" t="n">
        <x:f>(E24-E25+1)/365.25</x:f>
        <x:v>0.2518822724161533</x:v>
      </x:c>
      <x:c r="F26" s="145" t="n">
        <x:f>(F24-F25+1)/365.25</x:f>
        <x:v>0.2518822724161533</x:v>
      </x:c>
      <x:c r="G26" s="145" t="n">
        <x:f>(G24-G25+1)/365.25</x:f>
        <x:v>0.24914442162902123</x:v>
      </x:c>
      <x:c r="H26" s="145" t="n">
        <x:f>(H24-H25+1)/365.25</x:f>
        <x:v>0.24914442162902123</x:v>
      </x:c>
      <x:c r="I26" s="145" t="n">
        <x:f>(I24-I25+1)/365.25</x:f>
        <x:v>0.2518822724161533</x:v>
      </x:c>
      <x:c r="J26" s="145" t="n">
        <x:f>(J24-J25+1)/365.25</x:f>
        <x:v>0.2518822724161533</x:v>
      </x:c>
      <x:c r="K26" s="145" t="n">
        <x:f>(K24-K25+1)/365.25</x:f>
        <x:v>0.2464065708418891</x:v>
      </x:c>
      <x:c r="L26" s="145" t="n">
        <x:f>(L24-L25+1)/365.25</x:f>
        <x:v>0.24914442162902123</x:v>
      </x:c>
      <x:c r="M26" s="145" t="n">
        <x:f>(M24-M25+1)/365.25</x:f>
        <x:v>0.2518822724161533</x:v>
      </x:c>
      <x:c r="N26" s="145" t="n">
        <x:f>(N24-N25+1)/365.25</x:f>
        <x:v>0.2518822724161533</x:v>
      </x:c>
      <x:c r="O26" s="145" t="n">
        <x:f>(O24-O25+1)/365.25</x:f>
        <x:v>0.2464065708418891</x:v>
      </x:c>
      <x:c r="P26" s="145" t="n">
        <x:f>(P24-P25+1)/365.25</x:f>
        <x:v>0.24914442162902123</x:v>
      </x:c>
      <x:c r="Q26" s="145" t="n">
        <x:f>(Q24-Q25+1)/365.25</x:f>
        <x:v>0.2518822724161533</x:v>
      </x:c>
      <x:c r="R26" s="145" t="n">
        <x:f>(R24-R25+1)/365.25</x:f>
        <x:v>0.2518822724161533</x:v>
      </x:c>
      <x:c r="S26" s="145" t="n">
        <x:f>(S24-S25+1)/365.25</x:f>
        <x:v>0.2464065708418891</x:v>
      </x:c>
      <x:c r="T26" s="145" t="n">
        <x:f>(T24-T25+1)/365.25</x:f>
        <x:v>0.24914442162902123</x:v>
      </x:c>
      <x:c r="U26" s="145" t="n">
        <x:f>(U24-U25+1)/365.25</x:f>
        <x:v>0.2518822724161533</x:v>
      </x:c>
      <x:c r="V26" s="128"/>
    </x:row>
    <x:row r="27">
      <x:c r="A27" s="128" t="str">
        <x:v>BTC price</x:v>
      </x:c>
      <x:c r="B27" s="145" t="n">
        <x:f>L_BTC</x:f>
        <x:v>82131</x:v>
      </x:c>
      <x:c r="C27" s="145" t="n">
        <x:f>B27*(1+$B$5)^C26</x:f>
        <x:v>82131</x:v>
      </x:c>
      <x:c r="D27" s="145" t="n">
        <x:f>C27*(1+$B$5)^D26</x:f>
        <x:v>82131</x:v>
      </x:c>
      <x:c r="E27" s="145" t="n">
        <x:f>D27*(1+$B$5)^E26</x:f>
        <x:v>82131</x:v>
      </x:c>
      <x:c r="F27" s="145" t="n">
        <x:f>E27*(1+$B$5)^F26</x:f>
        <x:v>82131</x:v>
      </x:c>
      <x:c r="G27" s="145" t="n">
        <x:f>F27*(1+$B$5)^G26</x:f>
        <x:v>82131</x:v>
      </x:c>
      <x:c r="H27" s="145" t="n">
        <x:f>G27*(1+$B$5)^H26</x:f>
        <x:v>82131</x:v>
      </x:c>
      <x:c r="I27" s="145" t="n">
        <x:f>H27*(1+$B$5)^I26</x:f>
        <x:v>82131</x:v>
      </x:c>
      <x:c r="J27" s="145" t="n">
        <x:f>I27*(1+$B$5)^J26</x:f>
        <x:v>82131</x:v>
      </x:c>
      <x:c r="K27" s="145" t="n">
        <x:f>J27*(1+$B$5)^K26</x:f>
        <x:v>82131</x:v>
      </x:c>
      <x:c r="L27" s="145" t="n">
        <x:f>K27*(1+$B$5)^L26</x:f>
        <x:v>82131</x:v>
      </x:c>
      <x:c r="M27" s="145" t="n">
        <x:f>L27*(1+$B$5)^M26</x:f>
        <x:v>82131</x:v>
      </x:c>
      <x:c r="N27" s="145" t="n">
        <x:f>M27*(1+$B$5)^N26</x:f>
        <x:v>82131</x:v>
      </x:c>
      <x:c r="O27" s="145" t="n">
        <x:f>N27*(1+$B$5)^O26</x:f>
        <x:v>82131</x:v>
      </x:c>
      <x:c r="P27" s="145" t="n">
        <x:f>O27*(1+$B$5)^P26</x:f>
        <x:v>82131</x:v>
      </x:c>
      <x:c r="Q27" s="145" t="n">
        <x:f>P27*(1+$B$5)^Q26</x:f>
        <x:v>82131</x:v>
      </x:c>
      <x:c r="R27" s="145" t="n">
        <x:f>Q27*(1+$B$5)^R26</x:f>
        <x:v>82131</x:v>
      </x:c>
      <x:c r="S27" s="145" t="n">
        <x:f>R27*(1+$B$5)^S26</x:f>
        <x:v>82131</x:v>
      </x:c>
      <x:c r="T27" s="145" t="n">
        <x:f>S27*(1+$B$5)^T26</x:f>
        <x:v>82131</x:v>
      </x:c>
      <x:c r="U27" s="145" t="n">
        <x:f>T27*(1+$B$5)^U26</x:f>
        <x:v>82131</x:v>
      </x:c>
      <x:c r="V27" s="128"/>
    </x:row>
    <x:row r="28">
      <x:c r="A28" s="128" t="str">
        <x:v>Net mNAV assumption</x:v>
      </x:c>
      <x:c r="B28" s="140" t="n">
        <x:f>MAX(0.05,L_mNAV+$B$6*LN(B27/L_BTC))</x:f>
        <x:v>1.1745671782680673</x:v>
      </x:c>
      <x:c r="C28" s="140" t="n">
        <x:f>MAX(0.05,L_mNAV+$B$6*LN(C27/L_BTC))</x:f>
        <x:v>1.1745671782680673</x:v>
      </x:c>
      <x:c r="D28" s="140" t="n">
        <x:f>MAX(0.05,L_mNAV+$B$6*LN(D27/L_BTC))</x:f>
        <x:v>1.1745671782680673</x:v>
      </x:c>
      <x:c r="E28" s="140" t="n">
        <x:f>MAX(0.05,L_mNAV+$B$6*LN(E27/L_BTC))</x:f>
        <x:v>1.1745671782680673</x:v>
      </x:c>
      <x:c r="F28" s="140" t="n">
        <x:f>MAX(0.05,L_mNAV+$B$6*LN(F27/L_BTC))</x:f>
        <x:v>1.1745671782680673</x:v>
      </x:c>
      <x:c r="G28" s="140" t="n">
        <x:f>MAX(0.05,L_mNAV+$B$6*LN(G27/L_BTC))</x:f>
        <x:v>1.1745671782680673</x:v>
      </x:c>
      <x:c r="H28" s="140" t="n">
        <x:f>MAX(0.05,L_mNAV+$B$6*LN(H27/L_BTC))</x:f>
        <x:v>1.1745671782680673</x:v>
      </x:c>
      <x:c r="I28" s="140" t="n">
        <x:f>MAX(0.05,L_mNAV+$B$6*LN(I27/L_BTC))</x:f>
        <x:v>1.1745671782680673</x:v>
      </x:c>
      <x:c r="J28" s="140" t="n">
        <x:f>MAX(0.05,L_mNAV+$B$6*LN(J27/L_BTC))</x:f>
        <x:v>1.1745671782680673</x:v>
      </x:c>
      <x:c r="K28" s="140" t="n">
        <x:f>MAX(0.05,L_mNAV+$B$6*LN(K27/L_BTC))</x:f>
        <x:v>1.1745671782680673</x:v>
      </x:c>
      <x:c r="L28" s="140" t="n">
        <x:f>MAX(0.05,L_mNAV+$B$6*LN(L27/L_BTC))</x:f>
        <x:v>1.1745671782680673</x:v>
      </x:c>
      <x:c r="M28" s="140" t="n">
        <x:f>MAX(0.05,L_mNAV+$B$6*LN(M27/L_BTC))</x:f>
        <x:v>1.1745671782680673</x:v>
      </x:c>
      <x:c r="N28" s="140" t="n">
        <x:f>MAX(0.05,L_mNAV+$B$6*LN(N27/L_BTC))</x:f>
        <x:v>1.1745671782680673</x:v>
      </x:c>
      <x:c r="O28" s="140" t="n">
        <x:f>MAX(0.05,L_mNAV+$B$6*LN(O27/L_BTC))</x:f>
        <x:v>1.1745671782680673</x:v>
      </x:c>
      <x:c r="P28" s="140" t="n">
        <x:f>MAX(0.05,L_mNAV+$B$6*LN(P27/L_BTC))</x:f>
        <x:v>1.1745671782680673</x:v>
      </x:c>
      <x:c r="Q28" s="140" t="n">
        <x:f>MAX(0.05,L_mNAV+$B$6*LN(Q27/L_BTC))</x:f>
        <x:v>1.1745671782680673</x:v>
      </x:c>
      <x:c r="R28" s="140" t="n">
        <x:f>MAX(0.05,L_mNAV+$B$6*LN(R27/L_BTC))</x:f>
        <x:v>1.1745671782680673</x:v>
      </x:c>
      <x:c r="S28" s="140" t="n">
        <x:f>MAX(0.05,L_mNAV+$B$6*LN(S27/L_BTC))</x:f>
        <x:v>1.1745671782680673</x:v>
      </x:c>
      <x:c r="T28" s="140" t="n">
        <x:f>MAX(0.05,L_mNAV+$B$6*LN(T27/L_BTC))</x:f>
        <x:v>1.1745671782680673</x:v>
      </x:c>
      <x:c r="U28" s="140" t="n">
        <x:f>MAX(0.05,L_mNAV+$B$6*LN(U27/L_BTC))</x:f>
        <x:v>1.1745671782680673</x:v>
      </x:c>
      <x:c r="V28" s="128"/>
    </x:row>
    <x:row r="29">
      <x:c r="A29" s="128" t="str">
        <x:v>Demand factor</x:v>
      </x:c>
      <x:c r="B29" s="140" t="n">
        <x:f>MIN(1,MAX(0,(B28-mNAV_Floor+$B$8)/$B$8))*MIN(1,(B27/BTC_Spot)^$B$7)</x:f>
        <x:v>1</x:v>
      </x:c>
      <x:c r="C29" s="140" t="n">
        <x:f>MIN(1,MAX(0,(C28-mNAV_Floor+$B$8)/$B$8))*MIN(1,(C27/BTC_Spot)^$B$7)</x:f>
        <x:v>1</x:v>
      </x:c>
      <x:c r="D29" s="140" t="n">
        <x:f>MIN(1,MAX(0,(D28-mNAV_Floor+$B$8)/$B$8))*MIN(1,(D27/BTC_Spot)^$B$7)</x:f>
        <x:v>1</x:v>
      </x:c>
      <x:c r="E29" s="140" t="n">
        <x:f>MIN(1,MAX(0,(E28-mNAV_Floor+$B$8)/$B$8))*MIN(1,(E27/BTC_Spot)^$B$7)</x:f>
        <x:v>1</x:v>
      </x:c>
      <x:c r="F29" s="140" t="n">
        <x:f>MIN(1,MAX(0,(F28-mNAV_Floor+$B$8)/$B$8))*MIN(1,(F27/BTC_Spot)^$B$7)</x:f>
        <x:v>1</x:v>
      </x:c>
      <x:c r="G29" s="140" t="n">
        <x:f>MIN(1,MAX(0,(G28-mNAV_Floor+$B$8)/$B$8))*MIN(1,(G27/BTC_Spot)^$B$7)</x:f>
        <x:v>1</x:v>
      </x:c>
      <x:c r="H29" s="140" t="n">
        <x:f>MIN(1,MAX(0,(H28-mNAV_Floor+$B$8)/$B$8))*MIN(1,(H27/BTC_Spot)^$B$7)</x:f>
        <x:v>1</x:v>
      </x:c>
      <x:c r="I29" s="140" t="n">
        <x:f>MIN(1,MAX(0,(I28-mNAV_Floor+$B$8)/$B$8))*MIN(1,(I27/BTC_Spot)^$B$7)</x:f>
        <x:v>1</x:v>
      </x:c>
      <x:c r="J29" s="140" t="n">
        <x:f>MIN(1,MAX(0,(J28-mNAV_Floor+$B$8)/$B$8))*MIN(1,(J27/BTC_Spot)^$B$7)</x:f>
        <x:v>1</x:v>
      </x:c>
      <x:c r="K29" s="140" t="n">
        <x:f>MIN(1,MAX(0,(K28-mNAV_Floor+$B$8)/$B$8))*MIN(1,(K27/BTC_Spot)^$B$7)</x:f>
        <x:v>1</x:v>
      </x:c>
      <x:c r="L29" s="140" t="n">
        <x:f>MIN(1,MAX(0,(L28-mNAV_Floor+$B$8)/$B$8))*MIN(1,(L27/BTC_Spot)^$B$7)</x:f>
        <x:v>1</x:v>
      </x:c>
      <x:c r="M29" s="140" t="n">
        <x:f>MIN(1,MAX(0,(M28-mNAV_Floor+$B$8)/$B$8))*MIN(1,(M27/BTC_Spot)^$B$7)</x:f>
        <x:v>1</x:v>
      </x:c>
      <x:c r="N29" s="140" t="n">
        <x:f>MIN(1,MAX(0,(N28-mNAV_Floor+$B$8)/$B$8))*MIN(1,(N27/BTC_Spot)^$B$7)</x:f>
        <x:v>1</x:v>
      </x:c>
      <x:c r="O29" s="140" t="n">
        <x:f>MIN(1,MAX(0,(O28-mNAV_Floor+$B$8)/$B$8))*MIN(1,(O27/BTC_Spot)^$B$7)</x:f>
        <x:v>1</x:v>
      </x:c>
      <x:c r="P29" s="140" t="n">
        <x:f>MIN(1,MAX(0,(P28-mNAV_Floor+$B$8)/$B$8))*MIN(1,(P27/BTC_Spot)^$B$7)</x:f>
        <x:v>1</x:v>
      </x:c>
      <x:c r="Q29" s="140" t="n">
        <x:f>MIN(1,MAX(0,(Q28-mNAV_Floor+$B$8)/$B$8))*MIN(1,(Q27/BTC_Spot)^$B$7)</x:f>
        <x:v>1</x:v>
      </x:c>
      <x:c r="R29" s="140" t="n">
        <x:f>MIN(1,MAX(0,(R28-mNAV_Floor+$B$8)/$B$8))*MIN(1,(R27/BTC_Spot)^$B$7)</x:f>
        <x:v>1</x:v>
      </x:c>
      <x:c r="S29" s="140" t="n">
        <x:f>MIN(1,MAX(0,(S28-mNAV_Floor+$B$8)/$B$8))*MIN(1,(S27/BTC_Spot)^$B$7)</x:f>
        <x:v>1</x:v>
      </x:c>
      <x:c r="T29" s="140" t="n">
        <x:f>MIN(1,MAX(0,(T28-mNAV_Floor+$B$8)/$B$8))*MIN(1,(T27/BTC_Spot)^$B$7)</x:f>
        <x:v>1</x:v>
      </x:c>
      <x:c r="U29" s="140" t="n">
        <x:f>MIN(1,MAX(0,(U28-mNAV_Floor+$B$8)/$B$8))*MIN(1,(U27/BTC_Spot)^$B$7)</x:f>
        <x:v>1</x:v>
      </x:c>
      <x:c r="V29" s="128"/>
    </x:row>
    <x:row r="30">
      <x:c r="A30" s="128" t="str">
        <x:v>Opening cash</x:v>
      </x:c>
      <x:c r="B30" s="145" t="n">
        <x:f>Reserve_Live</x:f>
        <x:v>4880</x:v>
      </x:c>
      <x:c r="C30" s="145" t="n">
        <x:f>B49</x:f>
        <x:v>4551.199455427105</x:v>
      </x:c>
      <x:c r="D30" s="145" t="n">
        <x:f>C49</x:f>
        <x:v>4166.887130601644</x:v>
      </x:c>
      <x:c r="E30" s="145" t="n">
        <x:f>D49</x:f>
        <x:v>3778.3046688336763</x:v>
      </x:c>
      <x:c r="F30" s="145" t="n">
        <x:f>E49</x:f>
        <x:v>2375.452070123204</x:v>
      </x:c>
      <x:c r="G30" s="145" t="n">
        <x:f>F49</x:f>
        <x:v>1984.1894782573588</x:v>
      </x:c>
      <x:c r="H30" s="145" t="n">
        <x:f>G49</x:f>
        <x:v>1553.3550182499994</x:v>
      </x:c>
      <x:c r="I30" s="145" t="n">
        <x:f>H49</x:f>
        <x:v>1553.3550182499994</x:v>
      </x:c>
      <x:c r="J30" s="145" t="n">
        <x:f>I49</x:f>
        <x:v>1553.3550182499998</x:v>
      </x:c>
      <x:c r="K30" s="145" t="n">
        <x:f>J49</x:f>
        <x:v>1543.0730019999999</x:v>
      </x:c>
      <x:c r="L30" s="145" t="n">
        <x:f>K49</x:f>
        <x:v>1543.0730019999999</x:v>
      </x:c>
      <x:c r="M30" s="145" t="n">
        <x:f>L49</x:f>
        <x:v>1543.0730019999996</x:v>
      </x:c>
      <x:c r="N30" s="145" t="n">
        <x:f>M49</x:f>
        <x:v>1525.0730019999999</x:v>
      </x:c>
      <x:c r="O30" s="145" t="n">
        <x:f>N49</x:f>
        <x:v>1525.0730019999999</x:v>
      </x:c>
      <x:c r="P30" s="145" t="n">
        <x:f>O49</x:f>
        <x:v>1525.0730019999994</x:v>
      </x:c>
      <x:c r="Q30" s="145" t="n">
        <x:f>P49</x:f>
        <x:v>1525.0730019999994</x:v>
      </x:c>
      <x:c r="R30" s="145" t="n">
        <x:f>Q49</x:f>
        <x:v>1525.0730019999999</x:v>
      </x:c>
      <x:c r="S30" s="145" t="n">
        <x:f>R49</x:f>
        <x:v>1525.0730019999999</x:v>
      </x:c>
      <x:c r="T30" s="145" t="n">
        <x:f>S49</x:f>
        <x:v>1525.0730019999994</x:v>
      </x:c>
      <x:c r="U30" s="145" t="n">
        <x:f>T49</x:f>
        <x:v>1525.0730019999994</x:v>
      </x:c>
      <x:c r="V30" s="128"/>
    </x:row>
    <x:row r="31">
      <x:c r="A31" s="128" t="str">
        <x:v>Opening ATM capacity</x:v>
      </x:c>
      <x:c r="B31" s="145" t="n">
        <x:f>ATM_Cap</x:f>
        <x:v>18807.6</x:v>
      </x:c>
      <x:c r="C31" s="145" t="n">
        <x:f>B52</x:f>
        <x:v>18807.6</x:v>
      </x:c>
      <x:c r="D31" s="145" t="n">
        <x:f>C52</x:f>
        <x:v>18807.6</x:v>
      </x:c>
      <x:c r="E31" s="145" t="n">
        <x:f>D52</x:f>
        <x:v>18807.6</x:v>
      </x:c>
      <x:c r="F31" s="145" t="n">
        <x:f>E52</x:f>
        <x:v>18807.6</x:v>
      </x:c>
      <x:c r="G31" s="145" t="n">
        <x:f>F52</x:f>
        <x:v>18807.6</x:v>
      </x:c>
      <x:c r="H31" s="145" t="n">
        <x:f>G52</x:f>
        <x:v>16831.66537616255</x:v>
      </x:c>
      <x:c r="I31" s="145" t="n">
        <x:f>H52</x:f>
        <x:v>14925.594934135848</x:v>
      </x:c>
      <x:c r="J31" s="145" t="n">
        <x:f>I52</x:f>
        <x:v>13112.542821140045</x:v>
      </x:c>
      <x:c r="K31" s="145" t="n">
        <x:f>J52</x:f>
        <x:v>12730.329974677645</x:v>
      </x:c>
      <x:c r="L31" s="145" t="n">
        <x:f>K52</x:f>
        <x:v>12346.266008029645</x:v>
      </x:c>
      <x:c r="M31" s="145" t="n">
        <x:f>L52</x:f>
        <x:v>11149.853855893638</x:v>
      </x:c>
      <x:c r="N31" s="145" t="n">
        <x:f>M52</x:f>
        <x:v>10780.01663029335</x:v>
      </x:c>
      <x:c r="O31" s="145" t="n">
        <x:f>N52</x:f>
        <x:v>10391.997586511245</x:v>
      </x:c>
      <x:c r="P31" s="145" t="n">
        <x:f>O52</x:f>
        <x:v>10012.413739333098</x:v>
      </x:c>
      <x:c r="Q31" s="145" t="n">
        <x:f>P52</x:f>
        <x:v>9628.612293852972</x:v>
      </x:c>
      <x:c r="R31" s="145" t="n">
        <x:f>Q52</x:f>
        <x:v>9240.593250070866</x:v>
      </x:c>
      <x:c r="S31" s="145" t="n">
        <x:f>R52</x:f>
        <x:v>8852.57420628876</x:v>
      </x:c>
      <x:c r="T31" s="145" t="n">
        <x:f>S52</x:f>
        <x:v>8472.990359110614</x:v>
      </x:c>
      <x:c r="U31" s="145" t="n">
        <x:f>T52</x:f>
        <x:v>8089.188913630488</x:v>
      </x:c>
      <x:c r="V31" s="128"/>
    </x:row>
    <x:row r="32">
      <x:c r="A32" s="128" t="str">
        <x:v>Opening basic shares (m)</x:v>
      </x:c>
      <x:c r="B32" s="145" t="n">
        <x:f>MSTR_Shares</x:f>
        <x:v>421.761</x:v>
      </x:c>
      <x:c r="C32" s="145" t="n">
        <x:f>B54</x:f>
        <x:v>421.761</x:v>
      </x:c>
      <x:c r="D32" s="145" t="n">
        <x:f>C54</x:f>
        <x:v>421.761</x:v>
      </x:c>
      <x:c r="E32" s="145" t="n">
        <x:f>D54</x:f>
        <x:v>421.761</x:v>
      </x:c>
      <x:c r="F32" s="145" t="n">
        <x:f>E54</x:f>
        <x:v>421.761</x:v>
      </x:c>
      <x:c r="G32" s="145" t="n">
        <x:f>F54</x:f>
        <x:v>421.761</x:v>
      </x:c>
      <x:c r="H32" s="145" t="n">
        <x:f>G54</x:f>
        <x:v>435.31541409493093</x:v>
      </x:c>
      <x:c r="I32" s="145" t="n">
        <x:f>H54</x:f>
        <x:v>448.4177589337905</x:v>
      </x:c>
      <x:c r="J32" s="145" t="n">
        <x:f>I54</x:f>
        <x:v>460.90806753827997</x:v>
      </x:c>
      <x:c r="K32" s="145" t="n">
        <x:f>J54</x:f>
        <x:v>463.5476017777665</x:v>
      </x:c>
      <x:c r="L32" s="145" t="n">
        <x:f>K54</x:f>
        <x:v>466.21545861458804</x:v>
      </x:c>
      <x:c r="M32" s="145" t="n">
        <x:f>L54</x:f>
        <x:v>474.57362674129257</x:v>
      </x:c>
      <x:c r="N32" s="145" t="n">
        <x:f>M54</x:f>
        <x:v>477.16704101766237</x:v>
      </x:c>
      <x:c r="O32" s="145" t="n">
        <x:f>N54</x:f>
        <x:v>479.9035459842117</x:v>
      </x:c>
      <x:c r="P32" s="145" t="n">
        <x:f>O54</x:f>
        <x:v>482.5957880663957</x:v>
      </x:c>
      <x:c r="Q32" s="145" t="n">
        <x:f>P54</x:f>
        <x:v>485.3330904629211</x:v>
      </x:c>
      <x:c r="R32" s="145" t="n">
        <x:f>Q54</x:f>
        <x:v>488.1160423586525</x:v>
      </x:c>
      <x:c r="S32" s="145" t="n">
        <x:f>R54</x:f>
        <x:v>490.91482315310475</x:v>
      </x:c>
      <x:c r="T32" s="145" t="n">
        <x:f>S54</x:f>
        <x:v>493.6683337535748</x:v>
      </x:c>
      <x:c r="U32" s="145" t="n">
        <x:f>T54</x:f>
        <x:v>496.46793012546226</x:v>
      </x:c>
      <x:c r="V32" s="128"/>
    </x:row>
    <x:row r="33">
      <x:c r="A33" s="128" t="str">
        <x:v>Prior price for moneyness</x:v>
      </x:c>
      <x:c r="B33" s="145" t="n">
        <x:f>MSTR_Price_Live</x:f>
        <x:v>151.29</x:v>
      </x:c>
      <x:c r="C33" s="145" t="n">
        <x:f>B39</x:f>
        <x:v>151.29</x:v>
      </x:c>
      <x:c r="D33" s="145" t="n">
        <x:f>C39</x:f>
        <x:v>150.39405853047177</x:v>
      </x:c>
      <x:c r="E33" s="145" t="n">
        <x:f>D39</x:f>
        <x:v>149.34685421543878</x:v>
      </x:c>
      <x:c r="F33" s="145" t="n">
        <x:f>E39</x:f>
        <x:v>147.94137159261655</x:v>
      </x:c>
      <x:c r="G33" s="145" t="n">
        <x:f>F39</x:f>
        <x:v>146.85746451044554</x:v>
      </x:c>
      <x:c r="H33" s="145" t="n">
        <x:f>G39</x:f>
        <x:v>145.77794436547498</x:v>
      </x:c>
      <x:c r="I33" s="145" t="n">
        <x:f>H39</x:f>
        <x:v>145.4755210207553</x:v>
      </x:c>
      <x:c r="J33" s="145" t="n">
        <x:f>I39</x:f>
        <x:v>145.15671072723745</x:v>
      </x:c>
      <x:c r="K33" s="145" t="n">
        <x:f>J39</x:f>
        <x:v>144.80314016943788</x:v>
      </x:c>
      <x:c r="L33" s="145" t="n">
        <x:f>K39</x:f>
        <x:v>143.9597362748918</x:v>
      </x:c>
      <x:c r="M33" s="145" t="n">
        <x:f>L39</x:f>
        <x:v>143.1428674320926</x:v>
      </x:c>
      <x:c r="N33" s="145" t="n">
        <x:f>M39</x:f>
        <x:v>142.6063043494835</x:v>
      </x:c>
      <x:c r="O33" s="145" t="n">
        <x:f>N39</x:f>
        <x:v>141.79365596817712</x:v>
      </x:c>
      <x:c r="P33" s="145" t="n">
        <x:f>O39</x:f>
        <x:v>140.99172198891608</x:v>
      </x:c>
      <x:c r="Q33" s="145" t="n">
        <x:f>P39</x:f>
        <x:v>140.21156229114501</x:v>
      </x:c>
      <x:c r="R33" s="145" t="n">
        <x:f>Q39</x:f>
        <x:v>139.42714725944816</x:v>
      </x:c>
      <x:c r="S33" s="145" t="n">
        <x:f>R39</x:f>
        <x:v>138.6385974032834</x:v>
      </x:c>
      <x:c r="T33" s="145" t="n">
        <x:f>S39</x:f>
        <x:v>137.8545073018212</x:v>
      </x:c>
      <x:c r="U33" s="145" t="n">
        <x:f>T39</x:f>
        <x:v>137.0917069810944</x:v>
      </x:c>
      <x:c r="V33" s="128"/>
    </x:row>
    <x:row r="34">
      <x:c r="A34" s="128" t="str">
        <x:v>Remaining OTM note claims</x:v>
      </x:c>
      <x:c r="B34" s="145" t="n">
        <x:f>IF(B33&lt;'Net NAV'!C5,IF(B25&gt;'Net NAV'!D5,'Net NAV'!B5*(1-$B$9),'Net NAV'!B5),0)+IF(B33&lt;'Net NAV'!C6,IF(B25&gt;'Net NAV'!D6,'Net NAV'!B6*(1-$B$9),'Net NAV'!B6),0)+IF(B33&lt;'Net NAV'!C7,IF(B25&gt;'Net NAV'!D7,'Net NAV'!B7*(1-$B$9),'Net NAV'!B7),0)+IF(B33&lt;'Net NAV'!C8,IF(B25&gt;'Net NAV'!D8,'Net NAV'!B8*(1-$B$9),'Net NAV'!B8),0)+IF(B33&lt;'Net NAV'!C9,IF(B25&gt;'Net NAV'!D9,'Net NAV'!B9*(1-$B$9),'Net NAV'!B9),0)+IF(B33&lt;'Net NAV'!C10,IF(B25&gt;'Net NAV'!D10,'Net NAV'!B10*(1-$B$9),'Net NAV'!B10),0)</x:f>
        <x:v>5913.659</x:v>
      </x:c>
      <x:c r="C34" s="145" t="n">
        <x:f>IF(C33&lt;'Net NAV'!C5,IF(C25&gt;'Net NAV'!D5,'Net NAV'!B5*(1-$B$9),'Net NAV'!B5),0)+IF(C33&lt;'Net NAV'!C6,IF(C25&gt;'Net NAV'!D6,'Net NAV'!B6*(1-$B$9),'Net NAV'!B6),0)+IF(C33&lt;'Net NAV'!C7,IF(C25&gt;'Net NAV'!D7,'Net NAV'!B7*(1-$B$9),'Net NAV'!B7),0)+IF(C33&lt;'Net NAV'!C8,IF(C25&gt;'Net NAV'!D8,'Net NAV'!B8*(1-$B$9),'Net NAV'!B8),0)+IF(C33&lt;'Net NAV'!C9,IF(C25&gt;'Net NAV'!D9,'Net NAV'!B9*(1-$B$9),'Net NAV'!B9),0)+IF(C33&lt;'Net NAV'!C10,IF(C25&gt;'Net NAV'!D10,'Net NAV'!B10*(1-$B$9),'Net NAV'!B10),0)</x:f>
        <x:v>5913.659</x:v>
      </x:c>
      <x:c r="D34" s="145" t="n">
        <x:f>IF(D33&lt;'Net NAV'!C5,IF(D25&gt;'Net NAV'!D5,'Net NAV'!B5*(1-$B$9),'Net NAV'!B5),0)+IF(D33&lt;'Net NAV'!C6,IF(D25&gt;'Net NAV'!D6,'Net NAV'!B6*(1-$B$9),'Net NAV'!B6),0)+IF(D33&lt;'Net NAV'!C7,IF(D25&gt;'Net NAV'!D7,'Net NAV'!B7*(1-$B$9),'Net NAV'!B7),0)+IF(D33&lt;'Net NAV'!C8,IF(D25&gt;'Net NAV'!D8,'Net NAV'!B8*(1-$B$9),'Net NAV'!B8),0)+IF(D33&lt;'Net NAV'!C9,IF(D25&gt;'Net NAV'!D9,'Net NAV'!B9*(1-$B$9),'Net NAV'!B9),0)+IF(D33&lt;'Net NAV'!C10,IF(D25&gt;'Net NAV'!D10,'Net NAV'!B10*(1-$B$9),'Net NAV'!B10),0)</x:f>
        <x:v>5913.659</x:v>
      </x:c>
      <x:c r="E34" s="145" t="n">
        <x:f>IF(E33&lt;'Net NAV'!C5,IF(E25&gt;'Net NAV'!D5,'Net NAV'!B5*(1-$B$9),'Net NAV'!B5),0)+IF(E33&lt;'Net NAV'!C6,IF(E25&gt;'Net NAV'!D6,'Net NAV'!B6*(1-$B$9),'Net NAV'!B6),0)+IF(E33&lt;'Net NAV'!C7,IF(E25&gt;'Net NAV'!D7,'Net NAV'!B7*(1-$B$9),'Net NAV'!B7),0)+IF(E33&lt;'Net NAV'!C8,IF(E25&gt;'Net NAV'!D8,'Net NAV'!B8*(1-$B$9),'Net NAV'!B8),0)+IF(E33&lt;'Net NAV'!C9,IF(E25&gt;'Net NAV'!D9,'Net NAV'!B9*(1-$B$9),'Net NAV'!B9),0)+IF(E33&lt;'Net NAV'!C10,IF(E25&gt;'Net NAV'!D10,'Net NAV'!B10*(1-$B$9),'Net NAV'!B10),0)</x:f>
        <x:v>6713.659</x:v>
      </x:c>
      <x:c r="F34" s="145" t="n">
        <x:f>IF(F33&lt;'Net NAV'!C5,IF(F25&gt;'Net NAV'!D5,'Net NAV'!B5*(1-$B$9),'Net NAV'!B5),0)+IF(F33&lt;'Net NAV'!C6,IF(F25&gt;'Net NAV'!D6,'Net NAV'!B6*(1-$B$9),'Net NAV'!B6),0)+IF(F33&lt;'Net NAV'!C7,IF(F25&gt;'Net NAV'!D7,'Net NAV'!B7*(1-$B$9),'Net NAV'!B7),0)+IF(F33&lt;'Net NAV'!C8,IF(F25&gt;'Net NAV'!D8,'Net NAV'!B8*(1-$B$9),'Net NAV'!B8),0)+IF(F33&lt;'Net NAV'!C9,IF(F25&gt;'Net NAV'!D9,'Net NAV'!B9*(1-$B$9),'Net NAV'!B9),0)+IF(F33&lt;'Net NAV'!C10,IF(F25&gt;'Net NAV'!D10,'Net NAV'!B10*(1-$B$9),'Net NAV'!B10),0)</x:f>
        <x:v>5703.659</x:v>
      </x:c>
      <x:c r="G34" s="145" t="n">
        <x:f>IF(G33&lt;'Net NAV'!C5,IF(G25&gt;'Net NAV'!D5,'Net NAV'!B5*(1-$B$9),'Net NAV'!B5),0)+IF(G33&lt;'Net NAV'!C6,IF(G25&gt;'Net NAV'!D6,'Net NAV'!B6*(1-$B$9),'Net NAV'!B6),0)+IF(G33&lt;'Net NAV'!C7,IF(G25&gt;'Net NAV'!D7,'Net NAV'!B7*(1-$B$9),'Net NAV'!B7),0)+IF(G33&lt;'Net NAV'!C8,IF(G25&gt;'Net NAV'!D8,'Net NAV'!B8*(1-$B$9),'Net NAV'!B8),0)+IF(G33&lt;'Net NAV'!C9,IF(G25&gt;'Net NAV'!D9,'Net NAV'!B9*(1-$B$9),'Net NAV'!B9),0)+IF(G33&lt;'Net NAV'!C10,IF(G25&gt;'Net NAV'!D10,'Net NAV'!B10*(1-$B$9),'Net NAV'!B10),0)</x:f>
        <x:v>5703.659</x:v>
      </x:c>
      <x:c r="H34" s="145" t="n">
        <x:f>IF(H33&lt;'Net NAV'!C5,IF(H25&gt;'Net NAV'!D5,'Net NAV'!B5*(1-$B$9),'Net NAV'!B5),0)+IF(H33&lt;'Net NAV'!C6,IF(H25&gt;'Net NAV'!D6,'Net NAV'!B6*(1-$B$9),'Net NAV'!B6),0)+IF(H33&lt;'Net NAV'!C7,IF(H25&gt;'Net NAV'!D7,'Net NAV'!B7*(1-$B$9),'Net NAV'!B7),0)+IF(H33&lt;'Net NAV'!C8,IF(H25&gt;'Net NAV'!D8,'Net NAV'!B8*(1-$B$9),'Net NAV'!B8),0)+IF(H33&lt;'Net NAV'!C9,IF(H25&gt;'Net NAV'!D9,'Net NAV'!B9*(1-$B$9),'Net NAV'!B9),0)+IF(H33&lt;'Net NAV'!C10,IF(H25&gt;'Net NAV'!D10,'Net NAV'!B10*(1-$B$9),'Net NAV'!B10),0)</x:f>
        <x:v>3703.659</x:v>
      </x:c>
      <x:c r="I34" s="145" t="n">
        <x:f>IF(I33&lt;'Net NAV'!C5,IF(I25&gt;'Net NAV'!D5,'Net NAV'!B5*(1-$B$9),'Net NAV'!B5),0)+IF(I33&lt;'Net NAV'!C6,IF(I25&gt;'Net NAV'!D6,'Net NAV'!B6*(1-$B$9),'Net NAV'!B6),0)+IF(I33&lt;'Net NAV'!C7,IF(I25&gt;'Net NAV'!D7,'Net NAV'!B7*(1-$B$9),'Net NAV'!B7),0)+IF(I33&lt;'Net NAV'!C8,IF(I25&gt;'Net NAV'!D8,'Net NAV'!B8*(1-$B$9),'Net NAV'!B8),0)+IF(I33&lt;'Net NAV'!C9,IF(I25&gt;'Net NAV'!D9,'Net NAV'!B9*(1-$B$9),'Net NAV'!B9),0)+IF(I33&lt;'Net NAV'!C10,IF(I25&gt;'Net NAV'!D10,'Net NAV'!B10*(1-$B$9),'Net NAV'!B10),0)</x:f>
        <x:v>2203.659</x:v>
      </x:c>
      <x:c r="J34" s="145" t="n">
        <x:f>IF(J33&lt;'Net NAV'!C5,IF(J25&gt;'Net NAV'!D5,'Net NAV'!B5*(1-$B$9),'Net NAV'!B5),0)+IF(J33&lt;'Net NAV'!C6,IF(J25&gt;'Net NAV'!D6,'Net NAV'!B6*(1-$B$9),'Net NAV'!B6),0)+IF(J33&lt;'Net NAV'!C7,IF(J25&gt;'Net NAV'!D7,'Net NAV'!B7*(1-$B$9),'Net NAV'!B7),0)+IF(J33&lt;'Net NAV'!C8,IF(J25&gt;'Net NAV'!D8,'Net NAV'!B8*(1-$B$9),'Net NAV'!B8),0)+IF(J33&lt;'Net NAV'!C9,IF(J25&gt;'Net NAV'!D9,'Net NAV'!B9*(1-$B$9),'Net NAV'!B9),0)+IF(J33&lt;'Net NAV'!C10,IF(J25&gt;'Net NAV'!D10,'Net NAV'!B10*(1-$B$9),'Net NAV'!B10),0)</x:f>
        <x:v>800</x:v>
      </x:c>
      <x:c r="K34" s="145" t="n">
        <x:f>IF(K33&lt;'Net NAV'!C5,IF(K25&gt;'Net NAV'!D5,'Net NAV'!B5*(1-$B$9),'Net NAV'!B5),0)+IF(K33&lt;'Net NAV'!C6,IF(K25&gt;'Net NAV'!D6,'Net NAV'!B6*(1-$B$9),'Net NAV'!B6),0)+IF(K33&lt;'Net NAV'!C7,IF(K25&gt;'Net NAV'!D7,'Net NAV'!B7*(1-$B$9),'Net NAV'!B7),0)+IF(K33&lt;'Net NAV'!C8,IF(K25&gt;'Net NAV'!D8,'Net NAV'!B8*(1-$B$9),'Net NAV'!B8),0)+IF(K33&lt;'Net NAV'!C9,IF(K25&gt;'Net NAV'!D9,'Net NAV'!B9*(1-$B$9),'Net NAV'!B9),0)+IF(K33&lt;'Net NAV'!C10,IF(K25&gt;'Net NAV'!D10,'Net NAV'!B10*(1-$B$9),'Net NAV'!B10),0)</x:f>
        <x:v>800</x:v>
      </x:c>
      <x:c r="L34" s="145" t="n">
        <x:f>IF(L33&lt;'Net NAV'!C5,IF(L25&gt;'Net NAV'!D5,'Net NAV'!B5*(1-$B$9),'Net NAV'!B5),0)+IF(L33&lt;'Net NAV'!C6,IF(L25&gt;'Net NAV'!D6,'Net NAV'!B6*(1-$B$9),'Net NAV'!B6),0)+IF(L33&lt;'Net NAV'!C7,IF(L25&gt;'Net NAV'!D7,'Net NAV'!B7*(1-$B$9),'Net NAV'!B7),0)+IF(L33&lt;'Net NAV'!C8,IF(L25&gt;'Net NAV'!D8,'Net NAV'!B8*(1-$B$9),'Net NAV'!B8),0)+IF(L33&lt;'Net NAV'!C9,IF(L25&gt;'Net NAV'!D9,'Net NAV'!B9*(1-$B$9),'Net NAV'!B9),0)+IF(L33&lt;'Net NAV'!C10,IF(L25&gt;'Net NAV'!D10,'Net NAV'!B10*(1-$B$9),'Net NAV'!B10),0)</x:f>
        <x:v>800</x:v>
      </x:c>
      <x:c r="M34" s="145" t="n">
        <x:f>IF(M33&lt;'Net NAV'!C5,IF(M25&gt;'Net NAV'!D5,'Net NAV'!B5*(1-$B$9),'Net NAV'!B5),0)+IF(M33&lt;'Net NAV'!C6,IF(M25&gt;'Net NAV'!D6,'Net NAV'!B6*(1-$B$9),'Net NAV'!B6),0)+IF(M33&lt;'Net NAV'!C7,IF(M25&gt;'Net NAV'!D7,'Net NAV'!B7*(1-$B$9),'Net NAV'!B7),0)+IF(M33&lt;'Net NAV'!C8,IF(M25&gt;'Net NAV'!D8,'Net NAV'!B8*(1-$B$9),'Net NAV'!B8),0)+IF(M33&lt;'Net NAV'!C9,IF(M25&gt;'Net NAV'!D9,'Net NAV'!B9*(1-$B$9),'Net NAV'!B9),0)+IF(M33&lt;'Net NAV'!C10,IF(M25&gt;'Net NAV'!D10,'Net NAV'!B10*(1-$B$9),'Net NAV'!B10),0)</x:f>
        <x:v>0</x:v>
      </x:c>
      <x:c r="N34" s="145" t="n">
        <x:f>IF(N33&lt;'Net NAV'!C5,IF(N25&gt;'Net NAV'!D5,'Net NAV'!B5*(1-$B$9),'Net NAV'!B5),0)+IF(N33&lt;'Net NAV'!C6,IF(N25&gt;'Net NAV'!D6,'Net NAV'!B6*(1-$B$9),'Net NAV'!B6),0)+IF(N33&lt;'Net NAV'!C7,IF(N25&gt;'Net NAV'!D7,'Net NAV'!B7*(1-$B$9),'Net NAV'!B7),0)+IF(N33&lt;'Net NAV'!C8,IF(N25&gt;'Net NAV'!D8,'Net NAV'!B8*(1-$B$9),'Net NAV'!B8),0)+IF(N33&lt;'Net NAV'!C9,IF(N25&gt;'Net NAV'!D9,'Net NAV'!B9*(1-$B$9),'Net NAV'!B9),0)+IF(N33&lt;'Net NAV'!C10,IF(N25&gt;'Net NAV'!D10,'Net NAV'!B10*(1-$B$9),'Net NAV'!B10),0)</x:f>
        <x:v>0</x:v>
      </x:c>
      <x:c r="O34" s="145" t="n">
        <x:f>IF(O33&lt;'Net NAV'!C5,IF(O25&gt;'Net NAV'!D5,'Net NAV'!B5*(1-$B$9),'Net NAV'!B5),0)+IF(O33&lt;'Net NAV'!C6,IF(O25&gt;'Net NAV'!D6,'Net NAV'!B6*(1-$B$9),'Net NAV'!B6),0)+IF(O33&lt;'Net NAV'!C7,IF(O25&gt;'Net NAV'!D7,'Net NAV'!B7*(1-$B$9),'Net NAV'!B7),0)+IF(O33&lt;'Net NAV'!C8,IF(O25&gt;'Net NAV'!D8,'Net NAV'!B8*(1-$B$9),'Net NAV'!B8),0)+IF(O33&lt;'Net NAV'!C9,IF(O25&gt;'Net NAV'!D9,'Net NAV'!B9*(1-$B$9),'Net NAV'!B9),0)+IF(O33&lt;'Net NAV'!C10,IF(O25&gt;'Net NAV'!D10,'Net NAV'!B10*(1-$B$9),'Net NAV'!B10),0)</x:f>
        <x:v>0</x:v>
      </x:c>
      <x:c r="P34" s="145" t="n">
        <x:f>IF(P33&lt;'Net NAV'!C5,IF(P25&gt;'Net NAV'!D5,'Net NAV'!B5*(1-$B$9),'Net NAV'!B5),0)+IF(P33&lt;'Net NAV'!C6,IF(P25&gt;'Net NAV'!D6,'Net NAV'!B6*(1-$B$9),'Net NAV'!B6),0)+IF(P33&lt;'Net NAV'!C7,IF(P25&gt;'Net NAV'!D7,'Net NAV'!B7*(1-$B$9),'Net NAV'!B7),0)+IF(P33&lt;'Net NAV'!C8,IF(P25&gt;'Net NAV'!D8,'Net NAV'!B8*(1-$B$9),'Net NAV'!B8),0)+IF(P33&lt;'Net NAV'!C9,IF(P25&gt;'Net NAV'!D9,'Net NAV'!B9*(1-$B$9),'Net NAV'!B9),0)+IF(P33&lt;'Net NAV'!C10,IF(P25&gt;'Net NAV'!D10,'Net NAV'!B10*(1-$B$9),'Net NAV'!B10),0)</x:f>
        <x:v>0</x:v>
      </x:c>
      <x:c r="Q34" s="145" t="n">
        <x:f>IF(Q33&lt;'Net NAV'!C5,IF(Q25&gt;'Net NAV'!D5,'Net NAV'!B5*(1-$B$9),'Net NAV'!B5),0)+IF(Q33&lt;'Net NAV'!C6,IF(Q25&gt;'Net NAV'!D6,'Net NAV'!B6*(1-$B$9),'Net NAV'!B6),0)+IF(Q33&lt;'Net NAV'!C7,IF(Q25&gt;'Net NAV'!D7,'Net NAV'!B7*(1-$B$9),'Net NAV'!B7),0)+IF(Q33&lt;'Net NAV'!C8,IF(Q25&gt;'Net NAV'!D8,'Net NAV'!B8*(1-$B$9),'Net NAV'!B8),0)+IF(Q33&lt;'Net NAV'!C9,IF(Q25&gt;'Net NAV'!D9,'Net NAV'!B9*(1-$B$9),'Net NAV'!B9),0)+IF(Q33&lt;'Net NAV'!C10,IF(Q25&gt;'Net NAV'!D10,'Net NAV'!B10*(1-$B$9),'Net NAV'!B10),0)</x:f>
        <x:v>0</x:v>
      </x:c>
      <x:c r="R34" s="145" t="n">
        <x:f>IF(R33&lt;'Net NAV'!C5,IF(R25&gt;'Net NAV'!D5,'Net NAV'!B5*(1-$B$9),'Net NAV'!B5),0)+IF(R33&lt;'Net NAV'!C6,IF(R25&gt;'Net NAV'!D6,'Net NAV'!B6*(1-$B$9),'Net NAV'!B6),0)+IF(R33&lt;'Net NAV'!C7,IF(R25&gt;'Net NAV'!D7,'Net NAV'!B7*(1-$B$9),'Net NAV'!B7),0)+IF(R33&lt;'Net NAV'!C8,IF(R25&gt;'Net NAV'!D8,'Net NAV'!B8*(1-$B$9),'Net NAV'!B8),0)+IF(R33&lt;'Net NAV'!C9,IF(R25&gt;'Net NAV'!D9,'Net NAV'!B9*(1-$B$9),'Net NAV'!B9),0)+IF(R33&lt;'Net NAV'!C10,IF(R25&gt;'Net NAV'!D10,'Net NAV'!B10*(1-$B$9),'Net NAV'!B10),0)</x:f>
        <x:v>0</x:v>
      </x:c>
      <x:c r="S34" s="145" t="n">
        <x:f>IF(S33&lt;'Net NAV'!C5,IF(S25&gt;'Net NAV'!D5,'Net NAV'!B5*(1-$B$9),'Net NAV'!B5),0)+IF(S33&lt;'Net NAV'!C6,IF(S25&gt;'Net NAV'!D6,'Net NAV'!B6*(1-$B$9),'Net NAV'!B6),0)+IF(S33&lt;'Net NAV'!C7,IF(S25&gt;'Net NAV'!D7,'Net NAV'!B7*(1-$B$9),'Net NAV'!B7),0)+IF(S33&lt;'Net NAV'!C8,IF(S25&gt;'Net NAV'!D8,'Net NAV'!B8*(1-$B$9),'Net NAV'!B8),0)+IF(S33&lt;'Net NAV'!C9,IF(S25&gt;'Net NAV'!D9,'Net NAV'!B9*(1-$B$9),'Net NAV'!B9),0)+IF(S33&lt;'Net NAV'!C10,IF(S25&gt;'Net NAV'!D10,'Net NAV'!B10*(1-$B$9),'Net NAV'!B10),0)</x:f>
        <x:v>0</x:v>
      </x:c>
      <x:c r="T34" s="145" t="n">
        <x:f>IF(T33&lt;'Net NAV'!C5,IF(T25&gt;'Net NAV'!D5,'Net NAV'!B5*(1-$B$9),'Net NAV'!B5),0)+IF(T33&lt;'Net NAV'!C6,IF(T25&gt;'Net NAV'!D6,'Net NAV'!B6*(1-$B$9),'Net NAV'!B6),0)+IF(T33&lt;'Net NAV'!C7,IF(T25&gt;'Net NAV'!D7,'Net NAV'!B7*(1-$B$9),'Net NAV'!B7),0)+IF(T33&lt;'Net NAV'!C8,IF(T25&gt;'Net NAV'!D8,'Net NAV'!B8*(1-$B$9),'Net NAV'!B8),0)+IF(T33&lt;'Net NAV'!C9,IF(T25&gt;'Net NAV'!D9,'Net NAV'!B9*(1-$B$9),'Net NAV'!B9),0)+IF(T33&lt;'Net NAV'!C10,IF(T25&gt;'Net NAV'!D10,'Net NAV'!B10*(1-$B$9),'Net NAV'!B10),0)</x:f>
        <x:v>0</x:v>
      </x:c>
      <x:c r="U34" s="145" t="n">
        <x:f>IF(U33&lt;'Net NAV'!C5,IF(U25&gt;'Net NAV'!D5,'Net NAV'!B5*(1-$B$9),'Net NAV'!B5),0)+IF(U33&lt;'Net NAV'!C6,IF(U25&gt;'Net NAV'!D6,'Net NAV'!B6*(1-$B$9),'Net NAV'!B6),0)+IF(U33&lt;'Net NAV'!C7,IF(U25&gt;'Net NAV'!D7,'Net NAV'!B7*(1-$B$9),'Net NAV'!B7),0)+IF(U33&lt;'Net NAV'!C8,IF(U25&gt;'Net NAV'!D8,'Net NAV'!B8*(1-$B$9),'Net NAV'!B8),0)+IF(U33&lt;'Net NAV'!C9,IF(U25&gt;'Net NAV'!D9,'Net NAV'!B9*(1-$B$9),'Net NAV'!B9),0)+IF(U33&lt;'Net NAV'!C10,IF(U25&gt;'Net NAV'!D10,'Net NAV'!B10*(1-$B$9),'Net NAV'!B10),0)</x:f>
        <x:v>0</x:v>
      </x:c>
      <x:c r="V34" s="128"/>
    </x:row>
    <x:row r="35">
      <x:c r="A35" s="128" t="str">
        <x:v>Remaining ITM note shares (m)</x:v>
      </x:c>
      <x:c r="B35" s="145" t="n">
        <x:f>IF(B33&gt;='Net NAV'!C5,IF(B25&gt;'Net NAV'!D5,'Net NAV'!B5*(1-$B$9),'Net NAV'!B5)/'Net NAV'!C5,0)+IF(B33&gt;='Net NAV'!C6,IF(B25&gt;'Net NAV'!D6,'Net NAV'!B6*(1-$B$9),'Net NAV'!B6)/'Net NAV'!C6,0)+IF(B33&gt;='Net NAV'!C7,IF(B25&gt;'Net NAV'!D7,'Net NAV'!B7*(1-$B$9),'Net NAV'!B7)/'Net NAV'!C7,0)+IF(B33&gt;='Net NAV'!C8,IF(B25&gt;'Net NAV'!D8,'Net NAV'!B8*(1-$B$9),'Net NAV'!B8)/'Net NAV'!C8,0)+IF(B33&gt;='Net NAV'!C9,IF(B25&gt;'Net NAV'!D9,'Net NAV'!B9*(1-$B$9),'Net NAV'!B9)/'Net NAV'!C9,0)+IF(B33&gt;='Net NAV'!C10,IF(B25&gt;'Net NAV'!D10,'Net NAV'!B10*(1-$B$9),'Net NAV'!B10)/'Net NAV'!C10,0)</x:f>
        <x:v>5.341523669626761</x:v>
      </x:c>
      <x:c r="C35" s="145" t="n">
        <x:f>IF(C33&gt;='Net NAV'!C5,IF(C25&gt;'Net NAV'!D5,'Net NAV'!B5*(1-$B$9),'Net NAV'!B5)/'Net NAV'!C5,0)+IF(C33&gt;='Net NAV'!C6,IF(C25&gt;'Net NAV'!D6,'Net NAV'!B6*(1-$B$9),'Net NAV'!B6)/'Net NAV'!C6,0)+IF(C33&gt;='Net NAV'!C7,IF(C25&gt;'Net NAV'!D7,'Net NAV'!B7*(1-$B$9),'Net NAV'!B7)/'Net NAV'!C7,0)+IF(C33&gt;='Net NAV'!C8,IF(C25&gt;'Net NAV'!D8,'Net NAV'!B8*(1-$B$9),'Net NAV'!B8)/'Net NAV'!C8,0)+IF(C33&gt;='Net NAV'!C9,IF(C25&gt;'Net NAV'!D9,'Net NAV'!B9*(1-$B$9),'Net NAV'!B9)/'Net NAV'!C9,0)+IF(C33&gt;='Net NAV'!C10,IF(C25&gt;'Net NAV'!D10,'Net NAV'!B10*(1-$B$9),'Net NAV'!B10)/'Net NAV'!C10,0)</x:f>
        <x:v>5.341523669626761</x:v>
      </x:c>
      <x:c r="D35" s="145" t="n">
        <x:f>IF(D33&gt;='Net NAV'!C5,IF(D25&gt;'Net NAV'!D5,'Net NAV'!B5*(1-$B$9),'Net NAV'!B5)/'Net NAV'!C5,0)+IF(D33&gt;='Net NAV'!C6,IF(D25&gt;'Net NAV'!D6,'Net NAV'!B6*(1-$B$9),'Net NAV'!B6)/'Net NAV'!C6,0)+IF(D33&gt;='Net NAV'!C7,IF(D25&gt;'Net NAV'!D7,'Net NAV'!B7*(1-$B$9),'Net NAV'!B7)/'Net NAV'!C7,0)+IF(D33&gt;='Net NAV'!C8,IF(D25&gt;'Net NAV'!D8,'Net NAV'!B8*(1-$B$9),'Net NAV'!B8)/'Net NAV'!C8,0)+IF(D33&gt;='Net NAV'!C9,IF(D25&gt;'Net NAV'!D9,'Net NAV'!B9*(1-$B$9),'Net NAV'!B9)/'Net NAV'!C9,0)+IF(D33&gt;='Net NAV'!C10,IF(D25&gt;'Net NAV'!D10,'Net NAV'!B10*(1-$B$9),'Net NAV'!B10)/'Net NAV'!C10,0)</x:f>
        <x:v>5.341523669626761</x:v>
      </x:c>
      <x:c r="E35" s="145" t="n">
        <x:f>IF(E33&gt;='Net NAV'!C5,IF(E25&gt;'Net NAV'!D5,'Net NAV'!B5*(1-$B$9),'Net NAV'!B5)/'Net NAV'!C5,0)+IF(E33&gt;='Net NAV'!C6,IF(E25&gt;'Net NAV'!D6,'Net NAV'!B6*(1-$B$9),'Net NAV'!B6)/'Net NAV'!C6,0)+IF(E33&gt;='Net NAV'!C7,IF(E25&gt;'Net NAV'!D7,'Net NAV'!B7*(1-$B$9),'Net NAV'!B7)/'Net NAV'!C7,0)+IF(E33&gt;='Net NAV'!C8,IF(E25&gt;'Net NAV'!D8,'Net NAV'!B8*(1-$B$9),'Net NAV'!B8)/'Net NAV'!C8,0)+IF(E33&gt;='Net NAV'!C9,IF(E25&gt;'Net NAV'!D9,'Net NAV'!B9*(1-$B$9),'Net NAV'!B9)/'Net NAV'!C9,0)+IF(E33&gt;='Net NAV'!C10,IF(E25&gt;'Net NAV'!D10,'Net NAV'!B10*(1-$B$9),'Net NAV'!B10)/'Net NAV'!C10,0)</x:f>
        <x:v>0</x:v>
      </x:c>
      <x:c r="F35" s="145" t="n">
        <x:f>IF(F33&gt;='Net NAV'!C5,IF(F25&gt;'Net NAV'!D5,'Net NAV'!B5*(1-$B$9),'Net NAV'!B5)/'Net NAV'!C5,0)+IF(F33&gt;='Net NAV'!C6,IF(F25&gt;'Net NAV'!D6,'Net NAV'!B6*(1-$B$9),'Net NAV'!B6)/'Net NAV'!C6,0)+IF(F33&gt;='Net NAV'!C7,IF(F25&gt;'Net NAV'!D7,'Net NAV'!B7*(1-$B$9),'Net NAV'!B7)/'Net NAV'!C7,0)+IF(F33&gt;='Net NAV'!C8,IF(F25&gt;'Net NAV'!D8,'Net NAV'!B8*(1-$B$9),'Net NAV'!B8)/'Net NAV'!C8,0)+IF(F33&gt;='Net NAV'!C9,IF(F25&gt;'Net NAV'!D9,'Net NAV'!B9*(1-$B$9),'Net NAV'!B9)/'Net NAV'!C9,0)+IF(F33&gt;='Net NAV'!C10,IF(F25&gt;'Net NAV'!D10,'Net NAV'!B10*(1-$B$9),'Net NAV'!B10)/'Net NAV'!C10,0)</x:f>
        <x:v>0</x:v>
      </x:c>
      <x:c r="G35" s="145" t="n">
        <x:f>IF(G33&gt;='Net NAV'!C5,IF(G25&gt;'Net NAV'!D5,'Net NAV'!B5*(1-$B$9),'Net NAV'!B5)/'Net NAV'!C5,0)+IF(G33&gt;='Net NAV'!C6,IF(G25&gt;'Net NAV'!D6,'Net NAV'!B6*(1-$B$9),'Net NAV'!B6)/'Net NAV'!C6,0)+IF(G33&gt;='Net NAV'!C7,IF(G25&gt;'Net NAV'!D7,'Net NAV'!B7*(1-$B$9),'Net NAV'!B7)/'Net NAV'!C7,0)+IF(G33&gt;='Net NAV'!C8,IF(G25&gt;'Net NAV'!D8,'Net NAV'!B8*(1-$B$9),'Net NAV'!B8)/'Net NAV'!C8,0)+IF(G33&gt;='Net NAV'!C9,IF(G25&gt;'Net NAV'!D9,'Net NAV'!B9*(1-$B$9),'Net NAV'!B9)/'Net NAV'!C9,0)+IF(G33&gt;='Net NAV'!C10,IF(G25&gt;'Net NAV'!D10,'Net NAV'!B10*(1-$B$9),'Net NAV'!B10)/'Net NAV'!C10,0)</x:f>
        <x:v>0</x:v>
      </x:c>
      <x:c r="H35" s="145" t="n">
        <x:f>IF(H33&gt;='Net NAV'!C5,IF(H25&gt;'Net NAV'!D5,'Net NAV'!B5*(1-$B$9),'Net NAV'!B5)/'Net NAV'!C5,0)+IF(H33&gt;='Net NAV'!C6,IF(H25&gt;'Net NAV'!D6,'Net NAV'!B6*(1-$B$9),'Net NAV'!B6)/'Net NAV'!C6,0)+IF(H33&gt;='Net NAV'!C7,IF(H25&gt;'Net NAV'!D7,'Net NAV'!B7*(1-$B$9),'Net NAV'!B7)/'Net NAV'!C7,0)+IF(H33&gt;='Net NAV'!C8,IF(H25&gt;'Net NAV'!D8,'Net NAV'!B8*(1-$B$9),'Net NAV'!B8)/'Net NAV'!C8,0)+IF(H33&gt;='Net NAV'!C9,IF(H25&gt;'Net NAV'!D9,'Net NAV'!B9*(1-$B$9),'Net NAV'!B9)/'Net NAV'!C9,0)+IF(H33&gt;='Net NAV'!C10,IF(H25&gt;'Net NAV'!D10,'Net NAV'!B10*(1-$B$9),'Net NAV'!B10)/'Net NAV'!C10,0)</x:f>
        <x:v>0</x:v>
      </x:c>
      <x:c r="I35" s="145" t="n">
        <x:f>IF(I33&gt;='Net NAV'!C5,IF(I25&gt;'Net NAV'!D5,'Net NAV'!B5*(1-$B$9),'Net NAV'!B5)/'Net NAV'!C5,0)+IF(I33&gt;='Net NAV'!C6,IF(I25&gt;'Net NAV'!D6,'Net NAV'!B6*(1-$B$9),'Net NAV'!B6)/'Net NAV'!C6,0)+IF(I33&gt;='Net NAV'!C7,IF(I25&gt;'Net NAV'!D7,'Net NAV'!B7*(1-$B$9),'Net NAV'!B7)/'Net NAV'!C7,0)+IF(I33&gt;='Net NAV'!C8,IF(I25&gt;'Net NAV'!D8,'Net NAV'!B8*(1-$B$9),'Net NAV'!B8)/'Net NAV'!C8,0)+IF(I33&gt;='Net NAV'!C9,IF(I25&gt;'Net NAV'!D9,'Net NAV'!B9*(1-$B$9),'Net NAV'!B9)/'Net NAV'!C9,0)+IF(I33&gt;='Net NAV'!C10,IF(I25&gt;'Net NAV'!D10,'Net NAV'!B10*(1-$B$9),'Net NAV'!B10)/'Net NAV'!C10,0)</x:f>
        <x:v>0</x:v>
      </x:c>
      <x:c r="J35" s="145" t="n">
        <x:f>IF(J33&gt;='Net NAV'!C5,IF(J25&gt;'Net NAV'!D5,'Net NAV'!B5*(1-$B$9),'Net NAV'!B5)/'Net NAV'!C5,0)+IF(J33&gt;='Net NAV'!C6,IF(J25&gt;'Net NAV'!D6,'Net NAV'!B6*(1-$B$9),'Net NAV'!B6)/'Net NAV'!C6,0)+IF(J33&gt;='Net NAV'!C7,IF(J25&gt;'Net NAV'!D7,'Net NAV'!B7*(1-$B$9),'Net NAV'!B7)/'Net NAV'!C7,0)+IF(J33&gt;='Net NAV'!C8,IF(J25&gt;'Net NAV'!D8,'Net NAV'!B8*(1-$B$9),'Net NAV'!B8)/'Net NAV'!C8,0)+IF(J33&gt;='Net NAV'!C9,IF(J25&gt;'Net NAV'!D9,'Net NAV'!B9*(1-$B$9),'Net NAV'!B9)/'Net NAV'!C9,0)+IF(J33&gt;='Net NAV'!C10,IF(J25&gt;'Net NAV'!D10,'Net NAV'!B10*(1-$B$9),'Net NAV'!B10)/'Net NAV'!C10,0)</x:f>
        <x:v>0</x:v>
      </x:c>
      <x:c r="K35" s="145" t="n">
        <x:f>IF(K33&gt;='Net NAV'!C5,IF(K25&gt;'Net NAV'!D5,'Net NAV'!B5*(1-$B$9),'Net NAV'!B5)/'Net NAV'!C5,0)+IF(K33&gt;='Net NAV'!C6,IF(K25&gt;'Net NAV'!D6,'Net NAV'!B6*(1-$B$9),'Net NAV'!B6)/'Net NAV'!C6,0)+IF(K33&gt;='Net NAV'!C7,IF(K25&gt;'Net NAV'!D7,'Net NAV'!B7*(1-$B$9),'Net NAV'!B7)/'Net NAV'!C7,0)+IF(K33&gt;='Net NAV'!C8,IF(K25&gt;'Net NAV'!D8,'Net NAV'!B8*(1-$B$9),'Net NAV'!B8)/'Net NAV'!C8,0)+IF(K33&gt;='Net NAV'!C9,IF(K25&gt;'Net NAV'!D9,'Net NAV'!B9*(1-$B$9),'Net NAV'!B9)/'Net NAV'!C9,0)+IF(K33&gt;='Net NAV'!C10,IF(K25&gt;'Net NAV'!D10,'Net NAV'!B10*(1-$B$9),'Net NAV'!B10)/'Net NAV'!C10,0)</x:f>
        <x:v>0</x:v>
      </x:c>
      <x:c r="L35" s="145" t="n">
        <x:f>IF(L33&gt;='Net NAV'!C5,IF(L25&gt;'Net NAV'!D5,'Net NAV'!B5*(1-$B$9),'Net NAV'!B5)/'Net NAV'!C5,0)+IF(L33&gt;='Net NAV'!C6,IF(L25&gt;'Net NAV'!D6,'Net NAV'!B6*(1-$B$9),'Net NAV'!B6)/'Net NAV'!C6,0)+IF(L33&gt;='Net NAV'!C7,IF(L25&gt;'Net NAV'!D7,'Net NAV'!B7*(1-$B$9),'Net NAV'!B7)/'Net NAV'!C7,0)+IF(L33&gt;='Net NAV'!C8,IF(L25&gt;'Net NAV'!D8,'Net NAV'!B8*(1-$B$9),'Net NAV'!B8)/'Net NAV'!C8,0)+IF(L33&gt;='Net NAV'!C9,IF(L25&gt;'Net NAV'!D9,'Net NAV'!B9*(1-$B$9),'Net NAV'!B9)/'Net NAV'!C9,0)+IF(L33&gt;='Net NAV'!C10,IF(L25&gt;'Net NAV'!D10,'Net NAV'!B10*(1-$B$9),'Net NAV'!B10)/'Net NAV'!C10,0)</x:f>
        <x:v>0</x:v>
      </x:c>
      <x:c r="M35" s="145" t="n">
        <x:f>IF(M33&gt;='Net NAV'!C5,IF(M25&gt;'Net NAV'!D5,'Net NAV'!B5*(1-$B$9),'Net NAV'!B5)/'Net NAV'!C5,0)+IF(M33&gt;='Net NAV'!C6,IF(M25&gt;'Net NAV'!D6,'Net NAV'!B6*(1-$B$9),'Net NAV'!B6)/'Net NAV'!C6,0)+IF(M33&gt;='Net NAV'!C7,IF(M25&gt;'Net NAV'!D7,'Net NAV'!B7*(1-$B$9),'Net NAV'!B7)/'Net NAV'!C7,0)+IF(M33&gt;='Net NAV'!C8,IF(M25&gt;'Net NAV'!D8,'Net NAV'!B8*(1-$B$9),'Net NAV'!B8)/'Net NAV'!C8,0)+IF(M33&gt;='Net NAV'!C9,IF(M25&gt;'Net NAV'!D9,'Net NAV'!B9*(1-$B$9),'Net NAV'!B9)/'Net NAV'!C9,0)+IF(M33&gt;='Net NAV'!C10,IF(M25&gt;'Net NAV'!D10,'Net NAV'!B10*(1-$B$9),'Net NAV'!B10)/'Net NAV'!C10,0)</x:f>
        <x:v>0</x:v>
      </x:c>
      <x:c r="N35" s="145" t="n">
        <x:f>IF(N33&gt;='Net NAV'!C5,IF(N25&gt;'Net NAV'!D5,'Net NAV'!B5*(1-$B$9),'Net NAV'!B5)/'Net NAV'!C5,0)+IF(N33&gt;='Net NAV'!C6,IF(N25&gt;'Net NAV'!D6,'Net NAV'!B6*(1-$B$9),'Net NAV'!B6)/'Net NAV'!C6,0)+IF(N33&gt;='Net NAV'!C7,IF(N25&gt;'Net NAV'!D7,'Net NAV'!B7*(1-$B$9),'Net NAV'!B7)/'Net NAV'!C7,0)+IF(N33&gt;='Net NAV'!C8,IF(N25&gt;'Net NAV'!D8,'Net NAV'!B8*(1-$B$9),'Net NAV'!B8)/'Net NAV'!C8,0)+IF(N33&gt;='Net NAV'!C9,IF(N25&gt;'Net NAV'!D9,'Net NAV'!B9*(1-$B$9),'Net NAV'!B9)/'Net NAV'!C9,0)+IF(N33&gt;='Net NAV'!C10,IF(N25&gt;'Net NAV'!D10,'Net NAV'!B10*(1-$B$9),'Net NAV'!B10)/'Net NAV'!C10,0)</x:f>
        <x:v>0</x:v>
      </x:c>
      <x:c r="O35" s="145" t="n">
        <x:f>IF(O33&gt;='Net NAV'!C5,IF(O25&gt;'Net NAV'!D5,'Net NAV'!B5*(1-$B$9),'Net NAV'!B5)/'Net NAV'!C5,0)+IF(O33&gt;='Net NAV'!C6,IF(O25&gt;'Net NAV'!D6,'Net NAV'!B6*(1-$B$9),'Net NAV'!B6)/'Net NAV'!C6,0)+IF(O33&gt;='Net NAV'!C7,IF(O25&gt;'Net NAV'!D7,'Net NAV'!B7*(1-$B$9),'Net NAV'!B7)/'Net NAV'!C7,0)+IF(O33&gt;='Net NAV'!C8,IF(O25&gt;'Net NAV'!D8,'Net NAV'!B8*(1-$B$9),'Net NAV'!B8)/'Net NAV'!C8,0)+IF(O33&gt;='Net NAV'!C9,IF(O25&gt;'Net NAV'!D9,'Net NAV'!B9*(1-$B$9),'Net NAV'!B9)/'Net NAV'!C9,0)+IF(O33&gt;='Net NAV'!C10,IF(O25&gt;'Net NAV'!D10,'Net NAV'!B10*(1-$B$9),'Net NAV'!B10)/'Net NAV'!C10,0)</x:f>
        <x:v>0</x:v>
      </x:c>
      <x:c r="P35" s="145" t="n">
        <x:f>IF(P33&gt;='Net NAV'!C5,IF(P25&gt;'Net NAV'!D5,'Net NAV'!B5*(1-$B$9),'Net NAV'!B5)/'Net NAV'!C5,0)+IF(P33&gt;='Net NAV'!C6,IF(P25&gt;'Net NAV'!D6,'Net NAV'!B6*(1-$B$9),'Net NAV'!B6)/'Net NAV'!C6,0)+IF(P33&gt;='Net NAV'!C7,IF(P25&gt;'Net NAV'!D7,'Net NAV'!B7*(1-$B$9),'Net NAV'!B7)/'Net NAV'!C7,0)+IF(P33&gt;='Net NAV'!C8,IF(P25&gt;'Net NAV'!D8,'Net NAV'!B8*(1-$B$9),'Net NAV'!B8)/'Net NAV'!C8,0)+IF(P33&gt;='Net NAV'!C9,IF(P25&gt;'Net NAV'!D9,'Net NAV'!B9*(1-$B$9),'Net NAV'!B9)/'Net NAV'!C9,0)+IF(P33&gt;='Net NAV'!C10,IF(P25&gt;'Net NAV'!D10,'Net NAV'!B10*(1-$B$9),'Net NAV'!B10)/'Net NAV'!C10,0)</x:f>
        <x:v>0</x:v>
      </x:c>
      <x:c r="Q35" s="145" t="n">
        <x:f>IF(Q33&gt;='Net NAV'!C5,IF(Q25&gt;'Net NAV'!D5,'Net NAV'!B5*(1-$B$9),'Net NAV'!B5)/'Net NAV'!C5,0)+IF(Q33&gt;='Net NAV'!C6,IF(Q25&gt;'Net NAV'!D6,'Net NAV'!B6*(1-$B$9),'Net NAV'!B6)/'Net NAV'!C6,0)+IF(Q33&gt;='Net NAV'!C7,IF(Q25&gt;'Net NAV'!D7,'Net NAV'!B7*(1-$B$9),'Net NAV'!B7)/'Net NAV'!C7,0)+IF(Q33&gt;='Net NAV'!C8,IF(Q25&gt;'Net NAV'!D8,'Net NAV'!B8*(1-$B$9),'Net NAV'!B8)/'Net NAV'!C8,0)+IF(Q33&gt;='Net NAV'!C9,IF(Q25&gt;'Net NAV'!D9,'Net NAV'!B9*(1-$B$9),'Net NAV'!B9)/'Net NAV'!C9,0)+IF(Q33&gt;='Net NAV'!C10,IF(Q25&gt;'Net NAV'!D10,'Net NAV'!B10*(1-$B$9),'Net NAV'!B10)/'Net NAV'!C10,0)</x:f>
        <x:v>0</x:v>
      </x:c>
      <x:c r="R35" s="145" t="n">
        <x:f>IF(R33&gt;='Net NAV'!C5,IF(R25&gt;'Net NAV'!D5,'Net NAV'!B5*(1-$B$9),'Net NAV'!B5)/'Net NAV'!C5,0)+IF(R33&gt;='Net NAV'!C6,IF(R25&gt;'Net NAV'!D6,'Net NAV'!B6*(1-$B$9),'Net NAV'!B6)/'Net NAV'!C6,0)+IF(R33&gt;='Net NAV'!C7,IF(R25&gt;'Net NAV'!D7,'Net NAV'!B7*(1-$B$9),'Net NAV'!B7)/'Net NAV'!C7,0)+IF(R33&gt;='Net NAV'!C8,IF(R25&gt;'Net NAV'!D8,'Net NAV'!B8*(1-$B$9),'Net NAV'!B8)/'Net NAV'!C8,0)+IF(R33&gt;='Net NAV'!C9,IF(R25&gt;'Net NAV'!D9,'Net NAV'!B9*(1-$B$9),'Net NAV'!B9)/'Net NAV'!C9,0)+IF(R33&gt;='Net NAV'!C10,IF(R25&gt;'Net NAV'!D10,'Net NAV'!B10*(1-$B$9),'Net NAV'!B10)/'Net NAV'!C10,0)</x:f>
        <x:v>0</x:v>
      </x:c>
      <x:c r="S35" s="145" t="n">
        <x:f>IF(S33&gt;='Net NAV'!C5,IF(S25&gt;'Net NAV'!D5,'Net NAV'!B5*(1-$B$9),'Net NAV'!B5)/'Net NAV'!C5,0)+IF(S33&gt;='Net NAV'!C6,IF(S25&gt;'Net NAV'!D6,'Net NAV'!B6*(1-$B$9),'Net NAV'!B6)/'Net NAV'!C6,0)+IF(S33&gt;='Net NAV'!C7,IF(S25&gt;'Net NAV'!D7,'Net NAV'!B7*(1-$B$9),'Net NAV'!B7)/'Net NAV'!C7,0)+IF(S33&gt;='Net NAV'!C8,IF(S25&gt;'Net NAV'!D8,'Net NAV'!B8*(1-$B$9),'Net NAV'!B8)/'Net NAV'!C8,0)+IF(S33&gt;='Net NAV'!C9,IF(S25&gt;'Net NAV'!D9,'Net NAV'!B9*(1-$B$9),'Net NAV'!B9)/'Net NAV'!C9,0)+IF(S33&gt;='Net NAV'!C10,IF(S25&gt;'Net NAV'!D10,'Net NAV'!B10*(1-$B$9),'Net NAV'!B10)/'Net NAV'!C10,0)</x:f>
        <x:v>0</x:v>
      </x:c>
      <x:c r="T35" s="145" t="n">
        <x:f>IF(T33&gt;='Net NAV'!C5,IF(T25&gt;'Net NAV'!D5,'Net NAV'!B5*(1-$B$9),'Net NAV'!B5)/'Net NAV'!C5,0)+IF(T33&gt;='Net NAV'!C6,IF(T25&gt;'Net NAV'!D6,'Net NAV'!B6*(1-$B$9),'Net NAV'!B6)/'Net NAV'!C6,0)+IF(T33&gt;='Net NAV'!C7,IF(T25&gt;'Net NAV'!D7,'Net NAV'!B7*(1-$B$9),'Net NAV'!B7)/'Net NAV'!C7,0)+IF(T33&gt;='Net NAV'!C8,IF(T25&gt;'Net NAV'!D8,'Net NAV'!B8*(1-$B$9),'Net NAV'!B8)/'Net NAV'!C8,0)+IF(T33&gt;='Net NAV'!C9,IF(T25&gt;'Net NAV'!D9,'Net NAV'!B9*(1-$B$9),'Net NAV'!B9)/'Net NAV'!C9,0)+IF(T33&gt;='Net NAV'!C10,IF(T25&gt;'Net NAV'!D10,'Net NAV'!B10*(1-$B$9),'Net NAV'!B10)/'Net NAV'!C10,0)</x:f>
        <x:v>0</x:v>
      </x:c>
      <x:c r="U35" s="145" t="n">
        <x:f>IF(U33&gt;='Net NAV'!C5,IF(U25&gt;'Net NAV'!D5,'Net NAV'!B5*(1-$B$9),'Net NAV'!B5)/'Net NAV'!C5,0)+IF(U33&gt;='Net NAV'!C6,IF(U25&gt;'Net NAV'!D6,'Net NAV'!B6*(1-$B$9),'Net NAV'!B6)/'Net NAV'!C6,0)+IF(U33&gt;='Net NAV'!C7,IF(U25&gt;'Net NAV'!D7,'Net NAV'!B7*(1-$B$9),'Net NAV'!B7)/'Net NAV'!C7,0)+IF(U33&gt;='Net NAV'!C8,IF(U25&gt;'Net NAV'!D8,'Net NAV'!B8*(1-$B$9),'Net NAV'!B8)/'Net NAV'!C8,0)+IF(U33&gt;='Net NAV'!C9,IF(U25&gt;'Net NAV'!D9,'Net NAV'!B9*(1-$B$9),'Net NAV'!B9)/'Net NAV'!C9,0)+IF(U33&gt;='Net NAV'!C10,IF(U25&gt;'Net NAV'!D10,'Net NAV'!B10*(1-$B$9),'Net NAV'!B10)/'Net NAV'!C10,0)</x:f>
        <x:v>0</x:v>
      </x:c>
      <x:c r="V35" s="128"/>
    </x:row>
    <x:row r="36">
      <x:c r="A36" s="128" t="str">
        <x:v>Preferred claims for net NAV</x:v>
      </x:c>
      <x:c r="B36" s="145" t="n">
        <x:f>Pref_Notional_Total-IF(B33&gt;='Net NAV'!$B$14,Notional_STRK_In,0)</x:f>
        <x:v>13752.716100000001</x:v>
      </x:c>
      <x:c r="C36" s="145" t="n">
        <x:f>Pref_Notional_Total-IF(C33&gt;='Net NAV'!$B$14,Notional_STRK_In,0)</x:f>
        <x:v>13752.716100000001</x:v>
      </x:c>
      <x:c r="D36" s="145" t="n">
        <x:f>Pref_Notional_Total-IF(D33&gt;='Net NAV'!$B$14,Notional_STRK_In,0)</x:f>
        <x:v>13752.716100000001</x:v>
      </x:c>
      <x:c r="E36" s="145" t="n">
        <x:f>Pref_Notional_Total-IF(E33&gt;='Net NAV'!$B$14,Notional_STRK_In,0)</x:f>
        <x:v>13752.716100000001</x:v>
      </x:c>
      <x:c r="F36" s="145" t="n">
        <x:f>Pref_Notional_Total-IF(F33&gt;='Net NAV'!$B$14,Notional_STRK_In,0)</x:f>
        <x:v>13752.716100000001</x:v>
      </x:c>
      <x:c r="G36" s="145" t="n">
        <x:f>Pref_Notional_Total-IF(G33&gt;='Net NAV'!$B$14,Notional_STRK_In,0)</x:f>
        <x:v>13752.716100000001</x:v>
      </x:c>
      <x:c r="H36" s="145" t="n">
        <x:f>Pref_Notional_Total-IF(H33&gt;='Net NAV'!$B$14,Notional_STRK_In,0)</x:f>
        <x:v>13752.716100000001</x:v>
      </x:c>
      <x:c r="I36" s="145" t="n">
        <x:f>Pref_Notional_Total-IF(I33&gt;='Net NAV'!$B$14,Notional_STRK_In,0)</x:f>
        <x:v>13752.716100000001</x:v>
      </x:c>
      <x:c r="J36" s="145" t="n">
        <x:f>Pref_Notional_Total-IF(J33&gt;='Net NAV'!$B$14,Notional_STRK_In,0)</x:f>
        <x:v>13752.716100000001</x:v>
      </x:c>
      <x:c r="K36" s="145" t="n">
        <x:f>Pref_Notional_Total-IF(K33&gt;='Net NAV'!$B$14,Notional_STRK_In,0)</x:f>
        <x:v>13752.716100000001</x:v>
      </x:c>
      <x:c r="L36" s="145" t="n">
        <x:f>Pref_Notional_Total-IF(L33&gt;='Net NAV'!$B$14,Notional_STRK_In,0)</x:f>
        <x:v>13752.716100000001</x:v>
      </x:c>
      <x:c r="M36" s="145" t="n">
        <x:f>Pref_Notional_Total-IF(M33&gt;='Net NAV'!$B$14,Notional_STRK_In,0)</x:f>
        <x:v>13752.716100000001</x:v>
      </x:c>
      <x:c r="N36" s="145" t="n">
        <x:f>Pref_Notional_Total-IF(N33&gt;='Net NAV'!$B$14,Notional_STRK_In,0)</x:f>
        <x:v>13752.716100000001</x:v>
      </x:c>
      <x:c r="O36" s="145" t="n">
        <x:f>Pref_Notional_Total-IF(O33&gt;='Net NAV'!$B$14,Notional_STRK_In,0)</x:f>
        <x:v>13752.716100000001</x:v>
      </x:c>
      <x:c r="P36" s="145" t="n">
        <x:f>Pref_Notional_Total-IF(P33&gt;='Net NAV'!$B$14,Notional_STRK_In,0)</x:f>
        <x:v>13752.716100000001</x:v>
      </x:c>
      <x:c r="Q36" s="145" t="n">
        <x:f>Pref_Notional_Total-IF(Q33&gt;='Net NAV'!$B$14,Notional_STRK_In,0)</x:f>
        <x:v>13752.716100000001</x:v>
      </x:c>
      <x:c r="R36" s="145" t="n">
        <x:f>Pref_Notional_Total-IF(R33&gt;='Net NAV'!$B$14,Notional_STRK_In,0)</x:f>
        <x:v>13752.716100000001</x:v>
      </x:c>
      <x:c r="S36" s="145" t="n">
        <x:f>Pref_Notional_Total-IF(S33&gt;='Net NAV'!$B$14,Notional_STRK_In,0)</x:f>
        <x:v>13752.716100000001</x:v>
      </x:c>
      <x:c r="T36" s="145" t="n">
        <x:f>Pref_Notional_Total-IF(T33&gt;='Net NAV'!$B$14,Notional_STRK_In,0)</x:f>
        <x:v>13752.716100000001</x:v>
      </x:c>
      <x:c r="U36" s="145" t="n">
        <x:f>Pref_Notional_Total-IF(U33&gt;='Net NAV'!$B$14,Notional_STRK_In,0)</x:f>
        <x:v>13752.716100000001</x:v>
      </x:c>
      <x:c r="V36" s="128"/>
    </x:row>
    <x:row r="37">
      <x:c r="A37" s="128" t="str">
        <x:v>Fully diluted shares (m)</x:v>
      </x:c>
      <x:c r="B37" s="145" t="n">
        <x:f>B32+'Net NAV'!$B$13+B35+IF(B33&gt;='Net NAV'!$B$14,Notional_STRK_In/'Net NAV'!$B$14,0)</x:f>
        <x:v>431.0530776696268</x:v>
      </x:c>
      <x:c r="C37" s="145" t="n">
        <x:f>C32+'Net NAV'!$B$13+C35+IF(C33&gt;='Net NAV'!$B$14,Notional_STRK_In/'Net NAV'!$B$14,0)</x:f>
        <x:v>431.0530776696268</x:v>
      </x:c>
      <x:c r="D37" s="145" t="n">
        <x:f>D32+'Net NAV'!$B$13+D35+IF(D33&gt;='Net NAV'!$B$14,Notional_STRK_In/'Net NAV'!$B$14,0)</x:f>
        <x:v>431.0530776696268</x:v>
      </x:c>
      <x:c r="E37" s="145" t="n">
        <x:f>E32+'Net NAV'!$B$13+E35+IF(E33&gt;='Net NAV'!$B$14,Notional_STRK_In/'Net NAV'!$B$14,0)</x:f>
        <x:v>425.71155400000004</x:v>
      </x:c>
      <x:c r="F37" s="145" t="n">
        <x:f>F32+'Net NAV'!$B$13+F35+IF(F33&gt;='Net NAV'!$B$14,Notional_STRK_In/'Net NAV'!$B$14,0)</x:f>
        <x:v>425.71155400000004</x:v>
      </x:c>
      <x:c r="G37" s="145" t="n">
        <x:f>G32+'Net NAV'!$B$13+G35+IF(G33&gt;='Net NAV'!$B$14,Notional_STRK_In/'Net NAV'!$B$14,0)</x:f>
        <x:v>425.71155400000004</x:v>
      </x:c>
      <x:c r="H37" s="145" t="n">
        <x:f>H32+'Net NAV'!$B$13+H35+IF(H33&gt;='Net NAV'!$B$14,Notional_STRK_In/'Net NAV'!$B$14,0)</x:f>
        <x:v>439.26596809493094</x:v>
      </x:c>
      <x:c r="I37" s="145" t="n">
        <x:f>I32+'Net NAV'!$B$13+I35+IF(I33&gt;='Net NAV'!$B$14,Notional_STRK_In/'Net NAV'!$B$14,0)</x:f>
        <x:v>452.3683129337905</x:v>
      </x:c>
      <x:c r="J37" s="145" t="n">
        <x:f>J32+'Net NAV'!$B$13+J35+IF(J33&gt;='Net NAV'!$B$14,Notional_STRK_In/'Net NAV'!$B$14,0)</x:f>
        <x:v>464.85862153828</x:v>
      </x:c>
      <x:c r="K37" s="145" t="n">
        <x:f>K32+'Net NAV'!$B$13+K35+IF(K33&gt;='Net NAV'!$B$14,Notional_STRK_In/'Net NAV'!$B$14,0)</x:f>
        <x:v>467.4981557777665</x:v>
      </x:c>
      <x:c r="L37" s="145" t="n">
        <x:f>L32+'Net NAV'!$B$13+L35+IF(L33&gt;='Net NAV'!$B$14,Notional_STRK_In/'Net NAV'!$B$14,0)</x:f>
        <x:v>470.16601261458806</x:v>
      </x:c>
      <x:c r="M37" s="145" t="n">
        <x:f>M32+'Net NAV'!$B$13+M35+IF(M33&gt;='Net NAV'!$B$14,Notional_STRK_In/'Net NAV'!$B$14,0)</x:f>
        <x:v>478.5241807412926</x:v>
      </x:c>
      <x:c r="N37" s="145" t="n">
        <x:f>N32+'Net NAV'!$B$13+N35+IF(N33&gt;='Net NAV'!$B$14,Notional_STRK_In/'Net NAV'!$B$14,0)</x:f>
        <x:v>481.1175950176624</x:v>
      </x:c>
      <x:c r="O37" s="145" t="n">
        <x:f>O32+'Net NAV'!$B$13+O35+IF(O33&gt;='Net NAV'!$B$14,Notional_STRK_In/'Net NAV'!$B$14,0)</x:f>
        <x:v>483.8540999842117</x:v>
      </x:c>
      <x:c r="P37" s="145" t="n">
        <x:f>P32+'Net NAV'!$B$13+P35+IF(P33&gt;='Net NAV'!$B$14,Notional_STRK_In/'Net NAV'!$B$14,0)</x:f>
        <x:v>486.5463420663957</x:v>
      </x:c>
      <x:c r="Q37" s="145" t="n">
        <x:f>Q32+'Net NAV'!$B$13+Q35+IF(Q33&gt;='Net NAV'!$B$14,Notional_STRK_In/'Net NAV'!$B$14,0)</x:f>
        <x:v>489.28364446292113</x:v>
      </x:c>
      <x:c r="R37" s="145" t="n">
        <x:f>R32+'Net NAV'!$B$13+R35+IF(R33&gt;='Net NAV'!$B$14,Notional_STRK_In/'Net NAV'!$B$14,0)</x:f>
        <x:v>492.06659635865253</x:v>
      </x:c>
      <x:c r="S37" s="145" t="n">
        <x:f>S32+'Net NAV'!$B$13+S35+IF(S33&gt;='Net NAV'!$B$14,Notional_STRK_In/'Net NAV'!$B$14,0)</x:f>
        <x:v>494.86537715310476</x:v>
      </x:c>
      <x:c r="T37" s="145" t="n">
        <x:f>T32+'Net NAV'!$B$13+T35+IF(T33&gt;='Net NAV'!$B$14,Notional_STRK_In/'Net NAV'!$B$14,0)</x:f>
        <x:v>497.6188877535748</x:v>
      </x:c>
      <x:c r="U37" s="145" t="n">
        <x:f>U32+'Net NAV'!$B$13+U35+IF(U33&gt;='Net NAV'!$B$14,Notional_STRK_In/'Net NAV'!$B$14,0)</x:f>
        <x:v>500.41848412546227</x:v>
      </x:c>
      <x:c r="V37" s="128"/>
    </x:row>
    <x:row r="38">
      <x:c r="A38" s="128" t="str">
        <x:v>Net BTC value ($m)</x:v>
      </x:c>
      <x:c r="B38" s="145" t="n">
        <x:f>(BTC_Held-BTC_Topup*1000000/L_BTC)*B27/1000000+B30+IF(Include_USD_Cash="Yes",0,USD_Cash)-B34-B36</x:f>
        <x:v>55521.74565</x:v>
      </x:c>
      <x:c r="C38" s="145" t="n">
        <x:f>(BTC_Held-BTC_Topup*1000000/L_BTC)*C27/1000000+C30+IF(Include_USD_Cash="Yes",0,USD_Cash)-C34-C36</x:f>
        <x:v>55192.945105427105</x:v>
      </x:c>
      <x:c r="D38" s="145" t="n">
        <x:f>(BTC_Held-BTC_Topup*1000000/L_BTC)*D27/1000000+D30+IF(Include_USD_Cash="Yes",0,USD_Cash)-D34-D36</x:f>
        <x:v>54808.632780601634</x:v>
      </x:c>
      <x:c r="E38" s="145" t="n">
        <x:f>(BTC_Held-BTC_Topup*1000000/L_BTC)*E27/1000000+E30+IF(Include_USD_Cash="Yes",0,USD_Cash)-E34-E36</x:f>
        <x:v>53620.05031883367</x:v>
      </x:c>
      <x:c r="F38" s="145" t="n">
        <x:f>(BTC_Held-BTC_Topup*1000000/L_BTC)*F27/1000000+F30+IF(Include_USD_Cash="Yes",0,USD_Cash)-F34-F36</x:f>
        <x:v>53227.19772012321</x:v>
      </x:c>
      <x:c r="G38" s="145" t="n">
        <x:f>(BTC_Held-BTC_Topup*1000000/L_BTC)*G27/1000000+G30+IF(Include_USD_Cash="Yes",0,USD_Cash)-G34-G36</x:f>
        <x:v>52835.93512825736</x:v>
      </x:c>
      <x:c r="H38" s="145" t="n">
        <x:f>(BTC_Held-BTC_Topup*1000000/L_BTC)*H27/1000000+H30+IF(Include_USD_Cash="Yes",0,USD_Cash)-H34-H36</x:f>
        <x:v>54405.10066825</x:v>
      </x:c>
      <x:c r="I38" s="145" t="n">
        <x:f>(BTC_Held-BTC_Topup*1000000/L_BTC)*I27/1000000+I30+IF(Include_USD_Cash="Yes",0,USD_Cash)-I34-I36</x:f>
        <x:v>55905.10066825</x:v>
      </x:c>
      <x:c r="J38" s="145" t="n">
        <x:f>(BTC_Held-BTC_Topup*1000000/L_BTC)*J27/1000000+J30+IF(Include_USD_Cash="Yes",0,USD_Cash)-J34-J36</x:f>
        <x:v>57308.75966825</x:v>
      </x:c>
      <x:c r="K38" s="145" t="n">
        <x:f>(BTC_Held-BTC_Topup*1000000/L_BTC)*K27/1000000+K30+IF(Include_USD_Cash="Yes",0,USD_Cash)-K34-K36</x:f>
        <x:v>57298.477652</x:v>
      </x:c>
      <x:c r="L38" s="145" t="n">
        <x:f>(BTC_Held-BTC_Topup*1000000/L_BTC)*L27/1000000+L30+IF(Include_USD_Cash="Yes",0,USD_Cash)-L34-L36</x:f>
        <x:v>57298.477652</x:v>
      </x:c>
      <x:c r="M38" s="145" t="n">
        <x:f>(BTC_Held-BTC_Topup*1000000/L_BTC)*M27/1000000+M30+IF(Include_USD_Cash="Yes",0,USD_Cash)-M34-M36</x:f>
        <x:v>58098.477652</x:v>
      </x:c>
      <x:c r="N38" s="145" t="n">
        <x:f>(BTC_Held-BTC_Topup*1000000/L_BTC)*N27/1000000+N30+IF(Include_USD_Cash="Yes",0,USD_Cash)-N34-N36</x:f>
        <x:v>58080.477652</x:v>
      </x:c>
      <x:c r="O38" s="145" t="n">
        <x:f>(BTC_Held-BTC_Topup*1000000/L_BTC)*O27/1000000+O30+IF(Include_USD_Cash="Yes",0,USD_Cash)-O34-O36</x:f>
        <x:v>58080.477652</x:v>
      </x:c>
      <x:c r="P38" s="145" t="n">
        <x:f>(BTC_Held-BTC_Topup*1000000/L_BTC)*P27/1000000+P30+IF(Include_USD_Cash="Yes",0,USD_Cash)-P34-P36</x:f>
        <x:v>58080.477652</x:v>
      </x:c>
      <x:c r="Q38" s="145" t="n">
        <x:f>(BTC_Held-BTC_Topup*1000000/L_BTC)*Q27/1000000+Q30+IF(Include_USD_Cash="Yes",0,USD_Cash)-Q34-Q36</x:f>
        <x:v>58080.477652</x:v>
      </x:c>
      <x:c r="R38" s="145" t="n">
        <x:f>(BTC_Held-BTC_Topup*1000000/L_BTC)*R27/1000000+R30+IF(Include_USD_Cash="Yes",0,USD_Cash)-R34-R36</x:f>
        <x:v>58080.477652</x:v>
      </x:c>
      <x:c r="S38" s="145" t="n">
        <x:f>(BTC_Held-BTC_Topup*1000000/L_BTC)*S27/1000000+S30+IF(Include_USD_Cash="Yes",0,USD_Cash)-S34-S36</x:f>
        <x:v>58080.477652</x:v>
      </x:c>
      <x:c r="T38" s="145" t="n">
        <x:f>(BTC_Held-BTC_Topup*1000000/L_BTC)*T27/1000000+T30+IF(Include_USD_Cash="Yes",0,USD_Cash)-T34-T36</x:f>
        <x:v>58080.477652</x:v>
      </x:c>
      <x:c r="U38" s="145" t="n">
        <x:f>(BTC_Held-BTC_Topup*1000000/L_BTC)*U27/1000000+U30+IF(Include_USD_Cash="Yes",0,USD_Cash)-U34-U36</x:f>
        <x:v>58080.477652</x:v>
      </x:c>
      <x:c r="V38" s="128"/>
    </x:row>
    <x:row r="39">
      <x:c r="A39" s="128" t="str">
        <x:v>Implied MSTR price</x:v>
      </x:c>
      <x:c r="B39" s="145" t="n">
        <x:f>MAX(0,B28*B38/B37)</x:f>
        <x:v>151.29</x:v>
      </x:c>
      <x:c r="C39" s="145" t="n">
        <x:f>MAX(0,C28*C38/C37)</x:f>
        <x:v>150.39405853047177</x:v>
      </x:c>
      <x:c r="D39" s="145" t="n">
        <x:f>MAX(0,D28*D38/D37)</x:f>
        <x:v>149.34685421543878</x:v>
      </x:c>
      <x:c r="E39" s="145" t="n">
        <x:f>MAX(0,E28*E38/E37)</x:f>
        <x:v>147.94137159261655</x:v>
      </x:c>
      <x:c r="F39" s="145" t="n">
        <x:f>MAX(0,F28*F38/F37)</x:f>
        <x:v>146.85746451044554</x:v>
      </x:c>
      <x:c r="G39" s="145" t="n">
        <x:f>MAX(0,G28*G38/G37)</x:f>
        <x:v>145.77794436547498</x:v>
      </x:c>
      <x:c r="H39" s="145" t="n">
        <x:f>MAX(0,H28*H38/H37)</x:f>
        <x:v>145.4755210207553</x:v>
      </x:c>
      <x:c r="I39" s="145" t="n">
        <x:f>MAX(0,I28*I38/I37)</x:f>
        <x:v>145.15671072723745</x:v>
      </x:c>
      <x:c r="J39" s="145" t="n">
        <x:f>MAX(0,J28*J38/J37)</x:f>
        <x:v>144.80314016943788</x:v>
      </x:c>
      <x:c r="K39" s="145" t="n">
        <x:f>MAX(0,K28*K38/K37)</x:f>
        <x:v>143.9597362748918</x:v>
      </x:c>
      <x:c r="L39" s="145" t="n">
        <x:f>MAX(0,L28*L38/L37)</x:f>
        <x:v>143.1428674320926</x:v>
      </x:c>
      <x:c r="M39" s="145" t="n">
        <x:f>MAX(0,M28*M38/M37)</x:f>
        <x:v>142.6063043494835</x:v>
      </x:c>
      <x:c r="N39" s="145" t="n">
        <x:f>MAX(0,N28*N38/N37)</x:f>
        <x:v>141.79365596817712</x:v>
      </x:c>
      <x:c r="O39" s="145" t="n">
        <x:f>MAX(0,O28*O38/O37)</x:f>
        <x:v>140.99172198891608</x:v>
      </x:c>
      <x:c r="P39" s="145" t="n">
        <x:f>MAX(0,P28*P38/P37)</x:f>
        <x:v>140.21156229114501</x:v>
      </x:c>
      <x:c r="Q39" s="145" t="n">
        <x:f>MAX(0,Q28*Q38/Q37)</x:f>
        <x:v>139.42714725944816</x:v>
      </x:c>
      <x:c r="R39" s="145" t="n">
        <x:f>MAX(0,R28*R38/R37)</x:f>
        <x:v>138.6385974032834</x:v>
      </x:c>
      <x:c r="S39" s="145" t="n">
        <x:f>MAX(0,S28*S38/S37)</x:f>
        <x:v>137.8545073018212</x:v>
      </x:c>
      <x:c r="T39" s="145" t="n">
        <x:f>MAX(0,T28*T38/T37)</x:f>
        <x:v>137.0917069810944</x:v>
      </x:c>
      <x:c r="U39" s="145" t="n">
        <x:f>MAX(0,U28*U38/U37)</x:f>
        <x:v>136.32474601211487</x:v>
      </x:c>
      <x:c r="V39" s="128"/>
    </x:row>
    <x:row r="40">
      <x:c r="A40" s="128" t="str">
        <x:v>STRC annual rate</x:v>
      </x:c>
      <x:c r="B40" s="142" t="n">
        <x:f>IF($B$12=0,L_STRC,MAX($B$16,MIN($B$17,L_STRC+12*B26*IF($B$11&lt;95,$B$13,IF($B$11&lt;99,$B$14,IF($B$11&lt;101,0,$B$15))))))</x:f>
        <x:v>0.12</x:v>
      </x:c>
      <x:c r="C40" s="142" t="n">
        <x:f>IF($B$12=0,L_STRC,MAX($B$16,MIN($B$17,B40+12*C26*IF($B$11&lt;95,$B$13,IF($B$11&lt;99,$B$14,IF($B$11&lt;101,0,$B$15))))))</x:f>
        <x:v>0.12</x:v>
      </x:c>
      <x:c r="D40" s="142" t="n">
        <x:f>IF($B$12=0,L_STRC,MAX($B$16,MIN($B$17,C40+12*D26*IF($B$11&lt;95,$B$13,IF($B$11&lt;99,$B$14,IF($B$11&lt;101,0,$B$15))))))</x:f>
        <x:v>0.12</x:v>
      </x:c>
      <x:c r="E40" s="142" t="n">
        <x:f>IF($B$12=0,L_STRC,MAX($B$16,MIN($B$17,D40+12*E26*IF($B$11&lt;95,$B$13,IF($B$11&lt;99,$B$14,IF($B$11&lt;101,0,$B$15))))))</x:f>
        <x:v>0.12</x:v>
      </x:c>
      <x:c r="F40" s="142" t="n">
        <x:f>IF($B$12=0,L_STRC,MAX($B$16,MIN($B$17,E40+12*F26*IF($B$11&lt;95,$B$13,IF($B$11&lt;99,$B$14,IF($B$11&lt;101,0,$B$15))))))</x:f>
        <x:v>0.12</x:v>
      </x:c>
      <x:c r="G40" s="142" t="n">
        <x:f>IF($B$12=0,L_STRC,MAX($B$16,MIN($B$17,F40+12*G26*IF($B$11&lt;95,$B$13,IF($B$11&lt;99,$B$14,IF($B$11&lt;101,0,$B$15))))))</x:f>
        <x:v>0.12</x:v>
      </x:c>
      <x:c r="H40" s="142" t="n">
        <x:f>IF($B$12=0,L_STRC,MAX($B$16,MIN($B$17,G40+12*H26*IF($B$11&lt;95,$B$13,IF($B$11&lt;99,$B$14,IF($B$11&lt;101,0,$B$15))))))</x:f>
        <x:v>0.12</x:v>
      </x:c>
      <x:c r="I40" s="142" t="n">
        <x:f>IF($B$12=0,L_STRC,MAX($B$16,MIN($B$17,H40+12*I26*IF($B$11&lt;95,$B$13,IF($B$11&lt;99,$B$14,IF($B$11&lt;101,0,$B$15))))))</x:f>
        <x:v>0.12</x:v>
      </x:c>
      <x:c r="J40" s="142" t="n">
        <x:f>IF($B$12=0,L_STRC,MAX($B$16,MIN($B$17,I40+12*J26*IF($B$11&lt;95,$B$13,IF($B$11&lt;99,$B$14,IF($B$11&lt;101,0,$B$15))))))</x:f>
        <x:v>0.12</x:v>
      </x:c>
      <x:c r="K40" s="142" t="n">
        <x:f>IF($B$12=0,L_STRC,MAX($B$16,MIN($B$17,J40+12*K26*IF($B$11&lt;95,$B$13,IF($B$11&lt;99,$B$14,IF($B$11&lt;101,0,$B$15))))))</x:f>
        <x:v>0.12</x:v>
      </x:c>
      <x:c r="L40" s="142" t="n">
        <x:f>IF($B$12=0,L_STRC,MAX($B$16,MIN($B$17,K40+12*L26*IF($B$11&lt;95,$B$13,IF($B$11&lt;99,$B$14,IF($B$11&lt;101,0,$B$15))))))</x:f>
        <x:v>0.12</x:v>
      </x:c>
      <x:c r="M40" s="142" t="n">
        <x:f>IF($B$12=0,L_STRC,MAX($B$16,MIN($B$17,L40+12*M26*IF($B$11&lt;95,$B$13,IF($B$11&lt;99,$B$14,IF($B$11&lt;101,0,$B$15))))))</x:f>
        <x:v>0.12</x:v>
      </x:c>
      <x:c r="N40" s="142" t="n">
        <x:f>IF($B$12=0,L_STRC,MAX($B$16,MIN($B$17,M40+12*N26*IF($B$11&lt;95,$B$13,IF($B$11&lt;99,$B$14,IF($B$11&lt;101,0,$B$15))))))</x:f>
        <x:v>0.12</x:v>
      </x:c>
      <x:c r="O40" s="142" t="n">
        <x:f>IF($B$12=0,L_STRC,MAX($B$16,MIN($B$17,N40+12*O26*IF($B$11&lt;95,$B$13,IF($B$11&lt;99,$B$14,IF($B$11&lt;101,0,$B$15))))))</x:f>
        <x:v>0.12</x:v>
      </x:c>
      <x:c r="P40" s="142" t="n">
        <x:f>IF($B$12=0,L_STRC,MAX($B$16,MIN($B$17,O40+12*P26*IF($B$11&lt;95,$B$13,IF($B$11&lt;99,$B$14,IF($B$11&lt;101,0,$B$15))))))</x:f>
        <x:v>0.12</x:v>
      </x:c>
      <x:c r="Q40" s="142" t="n">
        <x:f>IF($B$12=0,L_STRC,MAX($B$16,MIN($B$17,P40+12*Q26*IF($B$11&lt;95,$B$13,IF($B$11&lt;99,$B$14,IF($B$11&lt;101,0,$B$15))))))</x:f>
        <x:v>0.12</x:v>
      </x:c>
      <x:c r="R40" s="142" t="n">
        <x:f>IF($B$12=0,L_STRC,MAX($B$16,MIN($B$17,Q40+12*R26*IF($B$11&lt;95,$B$13,IF($B$11&lt;99,$B$14,IF($B$11&lt;101,0,$B$15))))))</x:f>
        <x:v>0.12</x:v>
      </x:c>
      <x:c r="S40" s="142" t="n">
        <x:f>IF($B$12=0,L_STRC,MAX($B$16,MIN($B$17,R40+12*S26*IF($B$11&lt;95,$B$13,IF($B$11&lt;99,$B$14,IF($B$11&lt;101,0,$B$15))))))</x:f>
        <x:v>0.12</x:v>
      </x:c>
      <x:c r="T40" s="142" t="n">
        <x:f>IF($B$12=0,L_STRC,MAX($B$16,MIN($B$17,S40+12*T26*IF($B$11&lt;95,$B$13,IF($B$11&lt;99,$B$14,IF($B$11&lt;101,0,$B$15))))))</x:f>
        <x:v>0.12</x:v>
      </x:c>
      <x:c r="U40" s="142" t="n">
        <x:f>IF($B$12=0,L_STRC,MAX($B$16,MIN($B$17,T40+12*U26*IF($B$11&lt;95,$B$13,IF($B$11&lt;99,$B$14,IF($B$11&lt;101,0,$B$15))))))</x:f>
        <x:v>0.12</x:v>
      </x:c>
      <x:c r="V40" s="128"/>
    </x:row>
    <x:row r="41">
      <x:c r="A41" s="128" t="str">
        <x:v>Preferred cash accrual</x:v>
      </x:c>
      <x:c r="B41" s="145" t="n">
        <x:f>(Pref_Cash_Div_Total-Div_STRC_Cash+STRC_Notional_Now*B40)*B26</x:f>
        <x:v>321.08588953867206</x:v>
      </x:c>
      <x:c r="C41" s="145" t="n">
        <x:f>(Pref_Cash_Div_Total-Div_STRC_Cash+STRC_Notional_Now*C40)*C26</x:f>
        <x:v>375.2951955646816</x:v>
      </x:c>
      <x:c r="D41" s="145" t="n">
        <x:f>(Pref_Cash_Div_Total-Div_STRC_Cash+STRC_Notional_Now*D40)*D26</x:f>
        <x:v>379.465142182067</x:v>
      </x:c>
      <x:c r="E41" s="145" t="n">
        <x:f>(Pref_Cash_Div_Total-Div_STRC_Cash+STRC_Notional_Now*E40)*E26</x:f>
        <x:v>383.6350887994523</x:v>
      </x:c>
      <x:c r="F41" s="145" t="n">
        <x:f>(Pref_Cash_Div_Total-Div_STRC_Cash+STRC_Notional_Now*F40)*F26</x:f>
        <x:v>383.6350887994523</x:v>
      </x:c>
      <x:c r="G41" s="145" t="n">
        <x:f>(Pref_Cash_Div_Total-Div_STRC_Cash+STRC_Notional_Now*G40)*G26</x:f>
        <x:v>379.465142182067</x:v>
      </x:c>
      <x:c r="H41" s="145" t="n">
        <x:f>(Pref_Cash_Div_Total-Div_STRC_Cash+STRC_Notional_Now*H40)*H26</x:f>
        <x:v>379.465142182067</x:v>
      </x:c>
      <x:c r="I41" s="145" t="n">
        <x:f>(Pref_Cash_Div_Total-Div_STRC_Cash+STRC_Notional_Now*I40)*I26</x:f>
        <x:v>383.6350887994523</x:v>
      </x:c>
      <x:c r="J41" s="145" t="n">
        <x:f>(Pref_Cash_Div_Total-Div_STRC_Cash+STRC_Notional_Now*J40)*J26</x:f>
        <x:v>383.6350887994523</x:v>
      </x:c>
      <x:c r="K41" s="145" t="n">
        <x:f>(Pref_Cash_Div_Total-Div_STRC_Cash+STRC_Notional_Now*K40)*K26</x:f>
        <x:v>375.2951955646816</x:v>
      </x:c>
      <x:c r="L41" s="145" t="n">
        <x:f>(Pref_Cash_Div_Total-Div_STRC_Cash+STRC_Notional_Now*L40)*L26</x:f>
        <x:v>379.465142182067</x:v>
      </x:c>
      <x:c r="M41" s="145" t="n">
        <x:f>(Pref_Cash_Div_Total-Div_STRC_Cash+STRC_Notional_Now*M40)*M26</x:f>
        <x:v>383.6350887994523</x:v>
      </x:c>
      <x:c r="N41" s="145" t="n">
        <x:f>(Pref_Cash_Div_Total-Div_STRC_Cash+STRC_Notional_Now*N40)*N26</x:f>
        <x:v>383.6350887994523</x:v>
      </x:c>
      <x:c r="O41" s="145" t="n">
        <x:f>(Pref_Cash_Div_Total-Div_STRC_Cash+STRC_Notional_Now*O40)*O26</x:f>
        <x:v>375.2951955646816</x:v>
      </x:c>
      <x:c r="P41" s="145" t="n">
        <x:f>(Pref_Cash_Div_Total-Div_STRC_Cash+STRC_Notional_Now*P40)*P26</x:f>
        <x:v>379.465142182067</x:v>
      </x:c>
      <x:c r="Q41" s="145" t="n">
        <x:f>(Pref_Cash_Div_Total-Div_STRC_Cash+STRC_Notional_Now*Q40)*Q26</x:f>
        <x:v>383.6350887994523</x:v>
      </x:c>
      <x:c r="R41" s="145" t="n">
        <x:f>(Pref_Cash_Div_Total-Div_STRC_Cash+STRC_Notional_Now*R40)*R26</x:f>
        <x:v>383.6350887994523</x:v>
      </x:c>
      <x:c r="S41" s="145" t="n">
        <x:f>(Pref_Cash_Div_Total-Div_STRC_Cash+STRC_Notional_Now*S40)*S26</x:f>
        <x:v>375.2951955646816</x:v>
      </x:c>
      <x:c r="T41" s="145" t="n">
        <x:f>(Pref_Cash_Div_Total-Div_STRC_Cash+STRC_Notional_Now*T40)*T26</x:f>
        <x:v>379.465142182067</x:v>
      </x:c>
      <x:c r="U41" s="145" t="n">
        <x:f>(Pref_Cash_Div_Total-Div_STRC_Cash+STRC_Notional_Now*U40)*U26</x:f>
        <x:v>383.6350887994523</x:v>
      </x:c>
      <x:c r="V41" s="128"/>
    </x:row>
    <x:row r="42">
      <x:c r="A42" s="128" t="str">
        <x:v>Debt interest accrual</x:v>
      </x:c>
      <x:c r="B42" s="145" t="n">
        <x:f>(IF(B25&gt;'Net NAV'!D5,'Net NAV'!B5*(1-$B$9),'Net NAV'!B5)*'Net NAV'!G5+IF(B25&gt;'Net NAV'!D6,'Net NAV'!B6*(1-$B$9),'Net NAV'!B6)*'Net NAV'!G6+IF(B25&gt;'Net NAV'!D7,'Net NAV'!B7*(1-$B$9),'Net NAV'!B7)*'Net NAV'!G7+IF(B25&gt;'Net NAV'!D8,'Net NAV'!B8*(1-$B$9),'Net NAV'!B8)*'Net NAV'!G8+IF(B25&gt;'Net NAV'!D9,'Net NAV'!B9*(1-$B$9),'Net NAV'!B9)*'Net NAV'!G9+IF(B25&gt;'Net NAV'!D10,'Net NAV'!B10*(1-$B$9),'Net NAV'!B10)*'Net NAV'!G10+Other_Debt_Interest)*B26</x:f>
        <x:v>7.714655034223135</x:v>
      </x:c>
      <x:c r="C42" s="145" t="n">
        <x:f>(IF(C25&gt;'Net NAV'!D5,'Net NAV'!B5*(1-$B$9),'Net NAV'!B5)*'Net NAV'!G5+IF(C25&gt;'Net NAV'!D6,'Net NAV'!B6*(1-$B$9),'Net NAV'!B6)*'Net NAV'!G6+IF(C25&gt;'Net NAV'!D7,'Net NAV'!B7*(1-$B$9),'Net NAV'!B7)*'Net NAV'!G7+IF(C25&gt;'Net NAV'!D8,'Net NAV'!B8*(1-$B$9),'Net NAV'!B8)*'Net NAV'!G8+IF(C25&gt;'Net NAV'!D9,'Net NAV'!B9*(1-$B$9),'Net NAV'!B9)*'Net NAV'!G9+IF(C25&gt;'Net NAV'!D10,'Net NAV'!B10*(1-$B$9),'Net NAV'!B10)*'Net NAV'!G10+Other_Debt_Interest)*C26</x:f>
        <x:v>9.017129260780287</x:v>
      </x:c>
      <x:c r="D42" s="145" t="n">
        <x:f>(IF(D25&gt;'Net NAV'!D5,'Net NAV'!B5*(1-$B$9),'Net NAV'!B5)*'Net NAV'!G5+IF(D25&gt;'Net NAV'!D6,'Net NAV'!B6*(1-$B$9),'Net NAV'!B6)*'Net NAV'!G6+IF(D25&gt;'Net NAV'!D7,'Net NAV'!B7*(1-$B$9),'Net NAV'!B7)*'Net NAV'!G7+IF(D25&gt;'Net NAV'!D8,'Net NAV'!B8*(1-$B$9),'Net NAV'!B8)*'Net NAV'!G8+IF(D25&gt;'Net NAV'!D9,'Net NAV'!B9*(1-$B$9),'Net NAV'!B9)*'Net NAV'!G9+IF(D25&gt;'Net NAV'!D10,'Net NAV'!B10*(1-$B$9),'Net NAV'!B10)*'Net NAV'!G10+Other_Debt_Interest)*D26</x:f>
        <x:v>9.117319585900068</x:v>
      </x:c>
      <x:c r="E42" s="145" t="n">
        <x:f>(IF(E25&gt;'Net NAV'!D5,'Net NAV'!B5*(1-$B$9),'Net NAV'!B5)*'Net NAV'!G5+IF(E25&gt;'Net NAV'!D6,'Net NAV'!B6*(1-$B$9),'Net NAV'!B6)*'Net NAV'!G6+IF(E25&gt;'Net NAV'!D7,'Net NAV'!B7*(1-$B$9),'Net NAV'!B7)*'Net NAV'!G7+IF(E25&gt;'Net NAV'!D8,'Net NAV'!B8*(1-$B$9),'Net NAV'!B8)*'Net NAV'!G8+IF(E25&gt;'Net NAV'!D9,'Net NAV'!B9*(1-$B$9),'Net NAV'!B9)*'Net NAV'!G9+IF(E25&gt;'Net NAV'!D10,'Net NAV'!B10*(1-$B$9),'Net NAV'!B10)*'Net NAV'!G10+Other_Debt_Interest)*E26</x:f>
        <x:v>9.217509911019848</x:v>
      </x:c>
      <x:c r="F42" s="145" t="n">
        <x:f>(IF(F25&gt;'Net NAV'!D5,'Net NAV'!B5*(1-$B$9),'Net NAV'!B5)*'Net NAV'!G5+IF(F25&gt;'Net NAV'!D6,'Net NAV'!B6*(1-$B$9),'Net NAV'!B6)*'Net NAV'!G6+IF(F25&gt;'Net NAV'!D7,'Net NAV'!B7*(1-$B$9),'Net NAV'!B7)*'Net NAV'!G7+IF(F25&gt;'Net NAV'!D8,'Net NAV'!B8*(1-$B$9),'Net NAV'!B8)*'Net NAV'!G8+IF(F25&gt;'Net NAV'!D9,'Net NAV'!B9*(1-$B$9),'Net NAV'!B9)*'Net NAV'!G9+IF(F25&gt;'Net NAV'!D10,'Net NAV'!B10*(1-$B$9),'Net NAV'!B10)*'Net NAV'!G10+Other_Debt_Interest)*F26</x:f>
        <x:v>7.627503066392881</x:v>
      </x:c>
      <x:c r="G42" s="145" t="n">
        <x:f>(IF(G25&gt;'Net NAV'!D5,'Net NAV'!B5*(1-$B$9),'Net NAV'!B5)*'Net NAV'!G5+IF(G25&gt;'Net NAV'!D6,'Net NAV'!B6*(1-$B$9),'Net NAV'!B6)*'Net NAV'!G6+IF(G25&gt;'Net NAV'!D7,'Net NAV'!B7*(1-$B$9),'Net NAV'!B7)*'Net NAV'!G7+IF(G25&gt;'Net NAV'!D8,'Net NAV'!B8*(1-$B$9),'Net NAV'!B8)*'Net NAV'!G8+IF(G25&gt;'Net NAV'!D9,'Net NAV'!B9*(1-$B$9),'Net NAV'!B9)*'Net NAV'!G9+IF(G25&gt;'Net NAV'!D10,'Net NAV'!B10*(1-$B$9),'Net NAV'!B10)*'Net NAV'!G10+Other_Debt_Interest)*G26</x:f>
        <x:v>7.5445954243668725</x:v>
      </x:c>
      <x:c r="H42" s="145" t="n">
        <x:f>(IF(H25&gt;'Net NAV'!D5,'Net NAV'!B5*(1-$B$9),'Net NAV'!B5)*'Net NAV'!G5+IF(H25&gt;'Net NAV'!D6,'Net NAV'!B6*(1-$B$9),'Net NAV'!B6)*'Net NAV'!G6+IF(H25&gt;'Net NAV'!D7,'Net NAV'!B7*(1-$B$9),'Net NAV'!B7)*'Net NAV'!G7+IF(H25&gt;'Net NAV'!D8,'Net NAV'!B8*(1-$B$9),'Net NAV'!B8)*'Net NAV'!G8+IF(H25&gt;'Net NAV'!D9,'Net NAV'!B9*(1-$B$9),'Net NAV'!B9)*'Net NAV'!G9+IF(H25&gt;'Net NAV'!D10,'Net NAV'!B10*(1-$B$9),'Net NAV'!B10)*'Net NAV'!G10+Other_Debt_Interest)*H26</x:f>
        <x:v>7.5445954243668725</x:v>
      </x:c>
      <x:c r="I42" s="145" t="n">
        <x:f>(IF(I25&gt;'Net NAV'!D5,'Net NAV'!B5*(1-$B$9),'Net NAV'!B5)*'Net NAV'!G5+IF(I25&gt;'Net NAV'!D6,'Net NAV'!B6*(1-$B$9),'Net NAV'!B6)*'Net NAV'!G6+IF(I25&gt;'Net NAV'!D7,'Net NAV'!B7*(1-$B$9),'Net NAV'!B7)*'Net NAV'!G7+IF(I25&gt;'Net NAV'!D8,'Net NAV'!B8*(1-$B$9),'Net NAV'!B8)*'Net NAV'!G8+IF(I25&gt;'Net NAV'!D9,'Net NAV'!B9*(1-$B$9),'Net NAV'!B9)*'Net NAV'!G9+IF(I25&gt;'Net NAV'!D10,'Net NAV'!B10*(1-$B$9),'Net NAV'!B10)*'Net NAV'!G10+Other_Debt_Interest)*I26</x:f>
        <x:v>7.627503066392881</x:v>
      </x:c>
      <x:c r="J42" s="145" t="n">
        <x:f>(IF(J25&gt;'Net NAV'!D5,'Net NAV'!B5*(1-$B$9),'Net NAV'!B5)*'Net NAV'!G5+IF(J25&gt;'Net NAV'!D6,'Net NAV'!B6*(1-$B$9),'Net NAV'!B6)*'Net NAV'!G6+IF(J25&gt;'Net NAV'!D7,'Net NAV'!B7*(1-$B$9),'Net NAV'!B7)*'Net NAV'!G7+IF(J25&gt;'Net NAV'!D8,'Net NAV'!B8*(1-$B$9),'Net NAV'!B8)*'Net NAV'!G8+IF(J25&gt;'Net NAV'!D9,'Net NAV'!B9*(1-$B$9),'Net NAV'!B9)*'Net NAV'!G9+IF(J25&gt;'Net NAV'!D10,'Net NAV'!B10*(1-$B$9),'Net NAV'!B10)*'Net NAV'!G10+Other_Debt_Interest)*J26</x:f>
        <x:v>5.037645448323066</x:v>
      </x:c>
      <x:c r="K42" s="145" t="n">
        <x:f>(IF(K25&gt;'Net NAV'!D5,'Net NAV'!B5*(1-$B$9),'Net NAV'!B5)*'Net NAV'!G5+IF(K25&gt;'Net NAV'!D6,'Net NAV'!B6*(1-$B$9),'Net NAV'!B6)*'Net NAV'!G6+IF(K25&gt;'Net NAV'!D7,'Net NAV'!B7*(1-$B$9),'Net NAV'!B7)*'Net NAV'!G7+IF(K25&gt;'Net NAV'!D8,'Net NAV'!B8*(1-$B$9),'Net NAV'!B8)*'Net NAV'!G8+IF(K25&gt;'Net NAV'!D9,'Net NAV'!B9*(1-$B$9),'Net NAV'!B9)*'Net NAV'!G9+IF(K25&gt;'Net NAV'!D10,'Net NAV'!B10*(1-$B$9),'Net NAV'!B10)*'Net NAV'!G10+Other_Debt_Interest)*K26</x:f>
        <x:v>4.9281314168377826</x:v>
      </x:c>
      <x:c r="L42" s="145" t="n">
        <x:f>(IF(L25&gt;'Net NAV'!D5,'Net NAV'!B5*(1-$B$9),'Net NAV'!B5)*'Net NAV'!G5+IF(L25&gt;'Net NAV'!D6,'Net NAV'!B6*(1-$B$9),'Net NAV'!B6)*'Net NAV'!G6+IF(L25&gt;'Net NAV'!D7,'Net NAV'!B7*(1-$B$9),'Net NAV'!B7)*'Net NAV'!G7+IF(L25&gt;'Net NAV'!D8,'Net NAV'!B8*(1-$B$9),'Net NAV'!B8)*'Net NAV'!G8+IF(L25&gt;'Net NAV'!D9,'Net NAV'!B9*(1-$B$9),'Net NAV'!B9)*'Net NAV'!G9+IF(L25&gt;'Net NAV'!D10,'Net NAV'!B10*(1-$B$9),'Net NAV'!B10)*'Net NAV'!G10+Other_Debt_Interest)*L26</x:f>
        <x:v>4.982888432580425</x:v>
      </x:c>
      <x:c r="M42" s="145" t="n">
        <x:f>(IF(M25&gt;'Net NAV'!D5,'Net NAV'!B5*(1-$B$9),'Net NAV'!B5)*'Net NAV'!G5+IF(M25&gt;'Net NAV'!D6,'Net NAV'!B6*(1-$B$9),'Net NAV'!B6)*'Net NAV'!G6+IF(M25&gt;'Net NAV'!D7,'Net NAV'!B7*(1-$B$9),'Net NAV'!B7)*'Net NAV'!G7+IF(M25&gt;'Net NAV'!D8,'Net NAV'!B8*(1-$B$9),'Net NAV'!B8)*'Net NAV'!G8+IF(M25&gt;'Net NAV'!D9,'Net NAV'!B9*(1-$B$9),'Net NAV'!B9)*'Net NAV'!G9+IF(M25&gt;'Net NAV'!D10,'Net NAV'!B10*(1-$B$9),'Net NAV'!B10)*'Net NAV'!G10+Other_Debt_Interest)*M26</x:f>
        <x:v>0.5037645448323066</x:v>
      </x:c>
      <x:c r="N42" s="145" t="n">
        <x:f>(IF(N25&gt;'Net NAV'!D5,'Net NAV'!B5*(1-$B$9),'Net NAV'!B5)*'Net NAV'!G5+IF(N25&gt;'Net NAV'!D6,'Net NAV'!B6*(1-$B$9),'Net NAV'!B6)*'Net NAV'!G6+IF(N25&gt;'Net NAV'!D7,'Net NAV'!B7*(1-$B$9),'Net NAV'!B7)*'Net NAV'!G7+IF(N25&gt;'Net NAV'!D8,'Net NAV'!B8*(1-$B$9),'Net NAV'!B8)*'Net NAV'!G8+IF(N25&gt;'Net NAV'!D9,'Net NAV'!B9*(1-$B$9),'Net NAV'!B9)*'Net NAV'!G9+IF(N25&gt;'Net NAV'!D10,'Net NAV'!B10*(1-$B$9),'Net NAV'!B10)*'Net NAV'!G10+Other_Debt_Interest)*N26</x:f>
        <x:v>0.5037645448323066</x:v>
      </x:c>
      <x:c r="O42" s="145" t="n">
        <x:f>(IF(O25&gt;'Net NAV'!D5,'Net NAV'!B5*(1-$B$9),'Net NAV'!B5)*'Net NAV'!G5+IF(O25&gt;'Net NAV'!D6,'Net NAV'!B6*(1-$B$9),'Net NAV'!B6)*'Net NAV'!G6+IF(O25&gt;'Net NAV'!D7,'Net NAV'!B7*(1-$B$9),'Net NAV'!B7)*'Net NAV'!G7+IF(O25&gt;'Net NAV'!D8,'Net NAV'!B8*(1-$B$9),'Net NAV'!B8)*'Net NAV'!G8+IF(O25&gt;'Net NAV'!D9,'Net NAV'!B9*(1-$B$9),'Net NAV'!B9)*'Net NAV'!G9+IF(O25&gt;'Net NAV'!D10,'Net NAV'!B10*(1-$B$9),'Net NAV'!B10)*'Net NAV'!G10+Other_Debt_Interest)*O26</x:f>
        <x:v>0.4928131416837782</x:v>
      </x:c>
      <x:c r="P42" s="145" t="n">
        <x:f>(IF(P25&gt;'Net NAV'!D5,'Net NAV'!B5*(1-$B$9),'Net NAV'!B5)*'Net NAV'!G5+IF(P25&gt;'Net NAV'!D6,'Net NAV'!B6*(1-$B$9),'Net NAV'!B6)*'Net NAV'!G6+IF(P25&gt;'Net NAV'!D7,'Net NAV'!B7*(1-$B$9),'Net NAV'!B7)*'Net NAV'!G7+IF(P25&gt;'Net NAV'!D8,'Net NAV'!B8*(1-$B$9),'Net NAV'!B8)*'Net NAV'!G8+IF(P25&gt;'Net NAV'!D9,'Net NAV'!B9*(1-$B$9),'Net NAV'!B9)*'Net NAV'!G9+IF(P25&gt;'Net NAV'!D10,'Net NAV'!B10*(1-$B$9),'Net NAV'!B10)*'Net NAV'!G10+Other_Debt_Interest)*P26</x:f>
        <x:v>0.49828884325804246</x:v>
      </x:c>
      <x:c r="Q42" s="145" t="n">
        <x:f>(IF(Q25&gt;'Net NAV'!D5,'Net NAV'!B5*(1-$B$9),'Net NAV'!B5)*'Net NAV'!G5+IF(Q25&gt;'Net NAV'!D6,'Net NAV'!B6*(1-$B$9),'Net NAV'!B6)*'Net NAV'!G6+IF(Q25&gt;'Net NAV'!D7,'Net NAV'!B7*(1-$B$9),'Net NAV'!B7)*'Net NAV'!G7+IF(Q25&gt;'Net NAV'!D8,'Net NAV'!B8*(1-$B$9),'Net NAV'!B8)*'Net NAV'!G8+IF(Q25&gt;'Net NAV'!D9,'Net NAV'!B9*(1-$B$9),'Net NAV'!B9)*'Net NAV'!G9+IF(Q25&gt;'Net NAV'!D10,'Net NAV'!B10*(1-$B$9),'Net NAV'!B10)*'Net NAV'!G10+Other_Debt_Interest)*Q26</x:f>
        <x:v>0.5037645448323066</x:v>
      </x:c>
      <x:c r="R42" s="145" t="n">
        <x:f>(IF(R25&gt;'Net NAV'!D5,'Net NAV'!B5*(1-$B$9),'Net NAV'!B5)*'Net NAV'!G5+IF(R25&gt;'Net NAV'!D6,'Net NAV'!B6*(1-$B$9),'Net NAV'!B6)*'Net NAV'!G6+IF(R25&gt;'Net NAV'!D7,'Net NAV'!B7*(1-$B$9),'Net NAV'!B7)*'Net NAV'!G7+IF(R25&gt;'Net NAV'!D8,'Net NAV'!B8*(1-$B$9),'Net NAV'!B8)*'Net NAV'!G8+IF(R25&gt;'Net NAV'!D9,'Net NAV'!B9*(1-$B$9),'Net NAV'!B9)*'Net NAV'!G9+IF(R25&gt;'Net NAV'!D10,'Net NAV'!B10*(1-$B$9),'Net NAV'!B10)*'Net NAV'!G10+Other_Debt_Interest)*R26</x:f>
        <x:v>0.5037645448323066</x:v>
      </x:c>
      <x:c r="S42" s="145" t="n">
        <x:f>(IF(S25&gt;'Net NAV'!D5,'Net NAV'!B5*(1-$B$9),'Net NAV'!B5)*'Net NAV'!G5+IF(S25&gt;'Net NAV'!D6,'Net NAV'!B6*(1-$B$9),'Net NAV'!B6)*'Net NAV'!G6+IF(S25&gt;'Net NAV'!D7,'Net NAV'!B7*(1-$B$9),'Net NAV'!B7)*'Net NAV'!G7+IF(S25&gt;'Net NAV'!D8,'Net NAV'!B8*(1-$B$9),'Net NAV'!B8)*'Net NAV'!G8+IF(S25&gt;'Net NAV'!D9,'Net NAV'!B9*(1-$B$9),'Net NAV'!B9)*'Net NAV'!G9+IF(S25&gt;'Net NAV'!D10,'Net NAV'!B10*(1-$B$9),'Net NAV'!B10)*'Net NAV'!G10+Other_Debt_Interest)*S26</x:f>
        <x:v>0.4928131416837782</x:v>
      </x:c>
      <x:c r="T42" s="145" t="n">
        <x:f>(IF(T25&gt;'Net NAV'!D5,'Net NAV'!B5*(1-$B$9),'Net NAV'!B5)*'Net NAV'!G5+IF(T25&gt;'Net NAV'!D6,'Net NAV'!B6*(1-$B$9),'Net NAV'!B6)*'Net NAV'!G6+IF(T25&gt;'Net NAV'!D7,'Net NAV'!B7*(1-$B$9),'Net NAV'!B7)*'Net NAV'!G7+IF(T25&gt;'Net NAV'!D8,'Net NAV'!B8*(1-$B$9),'Net NAV'!B8)*'Net NAV'!G8+IF(T25&gt;'Net NAV'!D9,'Net NAV'!B9*(1-$B$9),'Net NAV'!B9)*'Net NAV'!G9+IF(T25&gt;'Net NAV'!D10,'Net NAV'!B10*(1-$B$9),'Net NAV'!B10)*'Net NAV'!G10+Other_Debt_Interest)*T26</x:f>
        <x:v>0.49828884325804246</x:v>
      </x:c>
      <x:c r="U42" s="145" t="n">
        <x:f>(IF(U25&gt;'Net NAV'!D5,'Net NAV'!B5*(1-$B$9),'Net NAV'!B5)*'Net NAV'!G5+IF(U25&gt;'Net NAV'!D6,'Net NAV'!B6*(1-$B$9),'Net NAV'!B6)*'Net NAV'!G6+IF(U25&gt;'Net NAV'!D7,'Net NAV'!B7*(1-$B$9),'Net NAV'!B7)*'Net NAV'!G7+IF(U25&gt;'Net NAV'!D8,'Net NAV'!B8*(1-$B$9),'Net NAV'!B8)*'Net NAV'!G8+IF(U25&gt;'Net NAV'!D9,'Net NAV'!B9*(1-$B$9),'Net NAV'!B9)*'Net NAV'!G9+IF(U25&gt;'Net NAV'!D10,'Net NAV'!B10*(1-$B$9),'Net NAV'!B10)*'Net NAV'!G10+Other_Debt_Interest)*U26</x:f>
        <x:v>0.5037645448323066</x:v>
      </x:c>
      <x:c r="V42" s="128"/>
    </x:row>
    <x:row r="43">
      <x:c r="A43" s="146" t="str">
        <x:v>Total cash charges</x:v>
      </x:c>
      <x:c r="B43" s="148" t="n">
        <x:f>SUM(B41:B42)</x:f>
        <x:v>328.8005445728952</x:v>
      </x:c>
      <x:c r="C43" s="148" t="n">
        <x:f>SUM(C41:C42)</x:f>
        <x:v>384.31232482546187</x:v>
      </x:c>
      <x:c r="D43" s="148" t="n">
        <x:f>SUM(D41:D42)</x:f>
        <x:v>388.58246176796706</x:v>
      </x:c>
      <x:c r="E43" s="148" t="n">
        <x:f>SUM(E41:E42)</x:f>
        <x:v>392.8525987104722</x:v>
      </x:c>
      <x:c r="F43" s="148" t="n">
        <x:f>SUM(F41:F42)</x:f>
        <x:v>391.2625918658452</x:v>
      </x:c>
      <x:c r="G43" s="148" t="n">
        <x:f>SUM(G41:G42)</x:f>
        <x:v>387.0097376064339</x:v>
      </x:c>
      <x:c r="H43" s="148" t="n">
        <x:f>SUM(H41:H42)</x:f>
        <x:v>387.0097376064339</x:v>
      </x:c>
      <x:c r="I43" s="148" t="n">
        <x:f>SUM(I41:I42)</x:f>
        <x:v>391.2625918658452</x:v>
      </x:c>
      <x:c r="J43" s="148" t="n">
        <x:f>SUM(J41:J42)</x:f>
        <x:v>388.6727342477754</x:v>
      </x:c>
      <x:c r="K43" s="148" t="n">
        <x:f>SUM(K41:K42)</x:f>
        <x:v>380.2233269815194</x:v>
      </x:c>
      <x:c r="L43" s="148" t="n">
        <x:f>SUM(L41:L42)</x:f>
        <x:v>384.4480306146474</x:v>
      </x:c>
      <x:c r="M43" s="148" t="n">
        <x:f>SUM(M41:M42)</x:f>
        <x:v>384.1388533442846</x:v>
      </x:c>
      <x:c r="N43" s="148" t="n">
        <x:f>SUM(N41:N42)</x:f>
        <x:v>384.1388533442846</x:v>
      </x:c>
      <x:c r="O43" s="148" t="n">
        <x:f>SUM(O41:O42)</x:f>
        <x:v>375.78800870636536</x:v>
      </x:c>
      <x:c r="P43" s="148" t="n">
        <x:f>SUM(P41:P42)</x:f>
        <x:v>379.963431025325</x:v>
      </x:c>
      <x:c r="Q43" s="148" t="n">
        <x:f>SUM(Q41:Q42)</x:f>
        <x:v>384.1388533442846</x:v>
      </x:c>
      <x:c r="R43" s="148" t="n">
        <x:f>SUM(R41:R42)</x:f>
        <x:v>384.1388533442846</x:v>
      </x:c>
      <x:c r="S43" s="148" t="n">
        <x:f>SUM(S41:S42)</x:f>
        <x:v>375.78800870636536</x:v>
      </x:c>
      <x:c r="T43" s="148" t="n">
        <x:f>SUM(T41:T42)</x:f>
        <x:v>379.963431025325</x:v>
      </x:c>
      <x:c r="U43" s="148" t="n">
        <x:f>SUM(U41:U42)</x:f>
        <x:v>384.1388533442846</x:v>
      </x:c>
      <x:c r="V43" s="128"/>
    </x:row>
    <x:row r="44">
      <x:c r="A44" s="128" t="str">
        <x:v>Holder puts: full cash need</x:v>
      </x:c>
      <x:c r="B44" s="145" t="n">
        <x:f>SUMIFS('Net NAV'!$B$5:$B$10,'Net NAV'!$D$5:$D$10,"&gt;="&amp;B25,'Net NAV'!$D$5:$D$10,"&lt;="&amp;B24)*$B$9</x:f>
        <x:v>0</x:v>
      </x:c>
      <x:c r="C44" s="145" t="n">
        <x:f>SUMIFS('Net NAV'!$B$5:$B$10,'Net NAV'!$D$5:$D$10,"&gt;="&amp;C25,'Net NAV'!$D$5:$D$10,"&lt;="&amp;C24)*$B$9</x:f>
        <x:v>0</x:v>
      </x:c>
      <x:c r="D44" s="145" t="n">
        <x:f>SUMIFS('Net NAV'!$B$5:$B$10,'Net NAV'!$D$5:$D$10,"&gt;="&amp;D25,'Net NAV'!$D$5:$D$10,"&lt;="&amp;D24)*$B$9</x:f>
        <x:v>0</x:v>
      </x:c>
      <x:c r="E44" s="145" t="n">
        <x:f>SUMIFS('Net NAV'!$B$5:$B$10,'Net NAV'!$D$5:$D$10,"&gt;="&amp;E25,'Net NAV'!$D$5:$D$10,"&lt;="&amp;E24)*$B$9</x:f>
        <x:v>1010</x:v>
      </x:c>
      <x:c r="F44" s="145" t="n">
        <x:f>SUMIFS('Net NAV'!$B$5:$B$10,'Net NAV'!$D$5:$D$10,"&gt;="&amp;F25,'Net NAV'!$D$5:$D$10,"&lt;="&amp;F24)*$B$9</x:f>
        <x:v>0</x:v>
      </x:c>
      <x:c r="G44" s="145" t="n">
        <x:f>SUMIFS('Net NAV'!$B$5:$B$10,'Net NAV'!$D$5:$D$10,"&gt;="&amp;G25,'Net NAV'!$D$5:$D$10,"&lt;="&amp;G24)*$B$9</x:f>
        <x:v>2000</x:v>
      </x:c>
      <x:c r="H44" s="145" t="n">
        <x:f>SUMIFS('Net NAV'!$B$5:$B$10,'Net NAV'!$D$5:$D$10,"&gt;="&amp;H25,'Net NAV'!$D$5:$D$10,"&lt;="&amp;H24)*$B$9</x:f>
        <x:v>1500</x:v>
      </x:c>
      <x:c r="I44" s="145" t="n">
        <x:f>SUMIFS('Net NAV'!$B$5:$B$10,'Net NAV'!$D$5:$D$10,"&gt;="&amp;I25,'Net NAV'!$D$5:$D$10,"&lt;="&amp;I24)*$B$9</x:f>
        <x:v>1403.659</x:v>
      </x:c>
      <x:c r="J44" s="145" t="n">
        <x:f>SUMIFS('Net NAV'!$B$5:$B$10,'Net NAV'!$D$5:$D$10,"&gt;="&amp;J25,'Net NAV'!$D$5:$D$10,"&lt;="&amp;J24)*$B$9</x:f>
        <x:v>0</x:v>
      </x:c>
      <x:c r="K44" s="145" t="n">
        <x:f>SUMIFS('Net NAV'!$B$5:$B$10,'Net NAV'!$D$5:$D$10,"&gt;="&amp;K25,'Net NAV'!$D$5:$D$10,"&lt;="&amp;K24)*$B$9</x:f>
        <x:v>0</x:v>
      </x:c>
      <x:c r="L44" s="145" t="n">
        <x:f>SUMIFS('Net NAV'!$B$5:$B$10,'Net NAV'!$D$5:$D$10,"&gt;="&amp;L25,'Net NAV'!$D$5:$D$10,"&lt;="&amp;L24)*$B$9</x:f>
        <x:v>800</x:v>
      </x:c>
      <x:c r="M44" s="145" t="n">
        <x:f>SUMIFS('Net NAV'!$B$5:$B$10,'Net NAV'!$D$5:$D$10,"&gt;="&amp;M25,'Net NAV'!$D$5:$D$10,"&lt;="&amp;M24)*$B$9</x:f>
        <x:v>0</x:v>
      </x:c>
      <x:c r="N44" s="145" t="n">
        <x:f>SUMIFS('Net NAV'!$B$5:$B$10,'Net NAV'!$D$5:$D$10,"&gt;="&amp;N25,'Net NAV'!$D$5:$D$10,"&lt;="&amp;N24)*$B$9</x:f>
        <x:v>0</x:v>
      </x:c>
      <x:c r="O44" s="145" t="n">
        <x:f>SUMIFS('Net NAV'!$B$5:$B$10,'Net NAV'!$D$5:$D$10,"&gt;="&amp;O25,'Net NAV'!$D$5:$D$10,"&lt;="&amp;O24)*$B$9</x:f>
        <x:v>0</x:v>
      </x:c>
      <x:c r="P44" s="145" t="n">
        <x:f>SUMIFS('Net NAV'!$B$5:$B$10,'Net NAV'!$D$5:$D$10,"&gt;="&amp;P25,'Net NAV'!$D$5:$D$10,"&lt;="&amp;P24)*$B$9</x:f>
        <x:v>0</x:v>
      </x:c>
      <x:c r="Q44" s="145" t="n">
        <x:f>SUMIFS('Net NAV'!$B$5:$B$10,'Net NAV'!$D$5:$D$10,"&gt;="&amp;Q25,'Net NAV'!$D$5:$D$10,"&lt;="&amp;Q24)*$B$9</x:f>
        <x:v>0</x:v>
      </x:c>
      <x:c r="R44" s="145" t="n">
        <x:f>SUMIFS('Net NAV'!$B$5:$B$10,'Net NAV'!$D$5:$D$10,"&gt;="&amp;R25,'Net NAV'!$D$5:$D$10,"&lt;="&amp;R24)*$B$9</x:f>
        <x:v>0</x:v>
      </x:c>
      <x:c r="S44" s="145" t="n">
        <x:f>SUMIFS('Net NAV'!$B$5:$B$10,'Net NAV'!$D$5:$D$10,"&gt;="&amp;S25,'Net NAV'!$D$5:$D$10,"&lt;="&amp;S24)*$B$9</x:f>
        <x:v>0</x:v>
      </x:c>
      <x:c r="T44" s="145" t="n">
        <x:f>SUMIFS('Net NAV'!$B$5:$B$10,'Net NAV'!$D$5:$D$10,"&gt;="&amp;T25,'Net NAV'!$D$5:$D$10,"&lt;="&amp;T24)*$B$9</x:f>
        <x:v>0</x:v>
      </x:c>
      <x:c r="U44" s="145" t="n">
        <x:f>SUMIFS('Net NAV'!$B$5:$B$10,'Net NAV'!$D$5:$D$10,"&gt;="&amp;U25,'Net NAV'!$D$5:$D$10,"&lt;="&amp;U24)*$B$9</x:f>
        <x:v>0</x:v>
      </x:c>
      <x:c r="V44" s="128"/>
    </x:row>
    <x:row r="45">
      <x:c r="A45" s="128" t="str">
        <x:v>Volume-limited gross common proceeds</x:v>
      </x:c>
      <x:c r="B45" s="145" t="n">
        <x:f>IF(AND(Gate_On="Yes",B28&lt;mNAV_Floor),0,L_ADV*L_Part*B29*Trading_Days*B26*B39)</x:f>
        <x:v>3536.4208361396304</x:v>
      </x:c>
      <x:c r="C45" s="145" t="n">
        <x:f>IF(AND(Gate_On="Yes",C28&lt;mNAV_Floor),0,L_ADV*L_Part*C29*Trading_Days*C26*C39)</x:f>
        <x:v>4109.000380252659</x:v>
      </x:c>
      <x:c r="D45" s="145" t="n">
        <x:f>IF(AND(Gate_On="Yes",D28&lt;mNAV_Floor),0,L_ADV*L_Part*D29*Trading_Days*D26*D39)</x:f>
        <x:v>4125.726781059861</x:v>
      </x:c>
      <x:c r="E45" s="145" t="n">
        <x:f>IF(AND(Gate_On="Yes",E28&lt;mNAV_Floor),0,L_ADV*L_Part*E29*Trading_Days*E26*E39)</x:f>
        <x:v>4131.811126519966</x:v>
      </x:c>
      <x:c r="F45" s="145" t="n">
        <x:f>IF(AND(Gate_On="Yes",F28&lt;mNAV_Floor),0,L_ADV*L_Part*F29*Trading_Days*F26*F39)</x:f>
        <x:v>4101.5390038945225</x:v>
      </x:c>
      <x:c r="G45" s="145" t="n">
        <x:f>IF(AND(Gate_On="Yes",G28&lt;mNAV_Floor),0,L_ADV*L_Part*G29*Trading_Days*G26*G39)</x:f>
        <x:v>4027.135170111408</x:v>
      </x:c>
      <x:c r="H45" s="145" t="n">
        <x:f>IF(AND(Gate_On="Yes",H28&lt;mNAV_Floor),0,L_ADV*L_Part*H29*Trading_Days*H26*H39)</x:f>
        <x:v>4018.780684849015</x:v>
      </x:c>
      <x:c r="I45" s="145" t="n">
        <x:f>IF(AND(Gate_On="Yes",I28&lt;mNAV_Floor),0,L_ADV*L_Part*I29*Trading_Days*I26*I39)</x:f>
        <x:v>4054.039150883285</x:v>
      </x:c>
      <x:c r="J45" s="145" t="n">
        <x:f>IF(AND(Gate_On="Yes",J28&lt;mNAV_Floor),0,L_ADV*L_Part*J29*Trading_Days*J26*J39)</x:f>
        <x:v>4044.1643825950136</x:v>
      </x:c>
      <x:c r="K45" s="145" t="n">
        <x:f>IF(AND(Gate_On="Yes",K28&lt;mNAV_Floor),0,L_ADV*L_Part*K29*Trading_Days*K26*K39)</x:f>
        <x:v>3933.204654988091</x:v>
      </x:c>
      <x:c r="L45" s="145" t="n">
        <x:f>IF(AND(Gate_On="Yes",L28&lt;mNAV_Floor),0,L_ADV*L_Part*L29*Trading_Days*L26*L39)</x:f>
        <x:v>3954.3408181224063</x:v>
      </x:c>
      <x:c r="M45" s="145" t="n">
        <x:f>IF(AND(Gate_On="Yes",M28&lt;mNAV_Floor),0,L_ADV*L_Part*M29*Trading_Days*M26*M39)</x:f>
        <x:v>3982.809600046289</x:v>
      </x:c>
      <x:c r="N45" s="145" t="n">
        <x:f>IF(AND(Gate_On="Yes",N28&lt;mNAV_Floor),0,L_ADV*L_Part*N29*Trading_Days*N26*N39)</x:f>
        <x:v>3960.1133820263813</x:v>
      </x:c>
      <x:c r="O45" s="145" t="n">
        <x:f>IF(AND(Gate_On="Yes",O28&lt;mNAV_Floor),0,L_ADV*L_Part*O29*Trading_Days*O26*O39)</x:f>
        <x:v>3852.113872886492</x:v>
      </x:c>
      <x:c r="P45" s="145" t="n">
        <x:f>IF(AND(Gate_On="Yes",P28&lt;mNAV_Floor),0,L_ADV*L_Part*P29*Trading_Days*P26*P39)</x:f>
        <x:v>3873.36312236177</x:v>
      </x:c>
      <x:c r="Q45" s="145" t="n">
        <x:f>IF(AND(Gate_On="Yes",Q28&lt;mNAV_Floor),0,L_ADV*L_Part*Q29*Trading_Days*Q26*Q39)</x:f>
        <x:v>3894.0198551888843</x:v>
      </x:c>
      <x:c r="R45" s="145" t="n">
        <x:f>IF(AND(Gate_On="Yes",R28&lt;mNAV_Floor),0,L_ADV*L_Part*R29*Trading_Days*R26*R39)</x:f>
        <x:v>3871.996677801499</x:v>
      </x:c>
      <x:c r="S45" s="145" t="n">
        <x:f>IF(AND(Gate_On="Yes",S28&lt;mNAV_Floor),0,L_ADV*L_Part*S29*Trading_Days*S26*S39)</x:f>
        <x:v>3766.4002717764106</x:v>
      </x:c>
      <x:c r="T45" s="145" t="n">
        <x:f>IF(AND(Gate_On="Yes",T28&lt;mNAV_Floor),0,L_ADV*L_Part*T29*Trading_Days*T26*T39)</x:f>
        <x:v>3787.176703013829</x:v>
      </x:c>
      <x:c r="U45" s="145" t="n">
        <x:f>IF(AND(Gate_On="Yes",U28&lt;mNAV_Floor),0,L_ADV*L_Part*U29*Trading_Days*U26*U39)</x:f>
        <x:v>3807.3738017241426</x:v>
      </x:c>
      <x:c r="V45" s="128"/>
    </x:row>
    <x:row r="46">
      <x:c r="A46" s="128" t="str">
        <x:v>Gross common issued</x:v>
      </x:c>
      <x:c r="B46" s="145" t="n">
        <x:f>MIN(B31,B45,MAX(0,(B43+B44+B43/B26*Reserve_Min_Months/12-B30)/(1-$B$10)))</x:f>
        <x:v>0</x:v>
      </x:c>
      <x:c r="C46" s="145" t="n">
        <x:f>MIN(C31,C45,MAX(0,(C43+C44+C43/C26*Reserve_Min_Months/12-C30)/(1-$B$10)))</x:f>
        <x:v>0</x:v>
      </x:c>
      <x:c r="D46" s="145" t="n">
        <x:f>MIN(D31,D45,MAX(0,(D43+D44+D43/D26*Reserve_Min_Months/12-D30)/(1-$B$10)))</x:f>
        <x:v>0</x:v>
      </x:c>
      <x:c r="E46" s="145" t="n">
        <x:f>MIN(E31,E45,MAX(0,(E43+E44+E43/E26*Reserve_Min_Months/12-E30)/(1-$B$10)))</x:f>
        <x:v>0</x:v>
      </x:c>
      <x:c r="F46" s="145" t="n">
        <x:f>MIN(F31,F45,MAX(0,(F43+F44+F43/F26*Reserve_Min_Months/12-F30)/(1-$B$10)))</x:f>
        <x:v>0</x:v>
      </x:c>
      <x:c r="G46" s="145" t="n">
        <x:f>MIN(G31,G45,MAX(0,(G43+G44+G43/G26*Reserve_Min_Months/12-G30)/(1-$B$10)))</x:f>
        <x:v>1975.9346238374492</x:v>
      </x:c>
      <x:c r="H46" s="145" t="n">
        <x:f>MIN(H31,H45,MAX(0,(H43+H44+H43/H26*Reserve_Min_Months/12-H30)/(1-$B$10)))</x:f>
        <x:v>1906.0704420267011</x:v>
      </x:c>
      <x:c r="I46" s="145" t="n">
        <x:f>MIN(I31,I45,MAX(0,(I43+I44+I43/I26*Reserve_Min_Months/12-I30)/(1-$B$10)))</x:f>
        <x:v>1813.0521129958036</x:v>
      </x:c>
      <x:c r="J46" s="145" t="n">
        <x:f>MIN(J31,J45,MAX(0,(J43+J44+J43/J26*Reserve_Min_Months/12-J30)/(1-$B$10)))</x:f>
        <x:v>382.21284646239945</x:v>
      </x:c>
      <x:c r="K46" s="145" t="n">
        <x:f>MIN(K31,K45,MAX(0,(K43+K44+K43/K26*Reserve_Min_Months/12-K30)/(1-$B$10)))</x:f>
        <x:v>384.06396664799945</x:v>
      </x:c>
      <x:c r="L46" s="145" t="n">
        <x:f>MIN(L31,L45,MAX(0,(L43+L44+L43/L26*Reserve_Min_Months/12-L30)/(1-$B$10)))</x:f>
        <x:v>1196.4121521360073</x:v>
      </x:c>
      <x:c r="M46" s="145" t="n">
        <x:f>MIN(M31,M45,MAX(0,(M43+M44+M43/M26*Reserve_Min_Months/12-M30)/(1-$B$10)))</x:f>
        <x:v>369.8372256002877</x:v>
      </x:c>
      <x:c r="N46" s="145" t="n">
        <x:f>MIN(N31,N45,MAX(0,(N43+N44+N43/N26*Reserve_Min_Months/12-N30)/(1-$B$10)))</x:f>
        <x:v>388.01904378210565</x:v>
      </x:c>
      <x:c r="O46" s="145" t="n">
        <x:f>MIN(O31,O45,MAX(0,(O43+O44+O43/O26*Reserve_Min_Months/12-O30)/(1-$B$10)))</x:f>
        <x:v>379.5838471781464</x:v>
      </x:c>
      <x:c r="P46" s="145" t="n">
        <x:f>MIN(P31,P45,MAX(0,(P43+P44+P43/P26*Reserve_Min_Months/12-P30)/(1-$B$10)))</x:f>
        <x:v>383.8014454801263</x:v>
      </x:c>
      <x:c r="Q46" s="145" t="n">
        <x:f>MIN(Q31,Q45,MAX(0,(Q43+Q44+Q43/Q26*Reserve_Min_Months/12-Q30)/(1-$B$10)))</x:f>
        <x:v>388.0190437821061</x:v>
      </x:c>
      <x:c r="R46" s="145" t="n">
        <x:f>MIN(R31,R45,MAX(0,(R43+R44+R43/R26*Reserve_Min_Months/12-R30)/(1-$B$10)))</x:f>
        <x:v>388.01904378210565</x:v>
      </x:c>
      <x:c r="S46" s="145" t="n">
        <x:f>MIN(S31,S45,MAX(0,(S43+S44+S43/S26*Reserve_Min_Months/12-S30)/(1-$B$10)))</x:f>
        <x:v>379.5838471781464</x:v>
      </x:c>
      <x:c r="T46" s="145" t="n">
        <x:f>MIN(T31,T45,MAX(0,(T43+T44+T43/T26*Reserve_Min_Months/12-T30)/(1-$B$10)))</x:f>
        <x:v>383.8014454801263</x:v>
      </x:c>
      <x:c r="U46" s="145" t="n">
        <x:f>MIN(U31,U45,MAX(0,(U43+U44+U43/U26*Reserve_Min_Months/12-U30)/(1-$B$10)))</x:f>
        <x:v>388.0190437821061</x:v>
      </x:c>
      <x:c r="V46" s="128"/>
    </x:row>
    <x:row r="47">
      <x:c r="A47" s="128" t="str">
        <x:v>Issuance fees</x:v>
      </x:c>
      <x:c r="B47" s="145" t="n">
        <x:f>B46*$B$10</x:f>
        <x:v>0</x:v>
      </x:c>
      <x:c r="C47" s="145" t="n">
        <x:f>C46*$B$10</x:f>
        <x:v>0</x:v>
      </x:c>
      <x:c r="D47" s="145" t="n">
        <x:f>D46*$B$10</x:f>
        <x:v>0</x:v>
      </x:c>
      <x:c r="E47" s="145" t="n">
        <x:f>E46*$B$10</x:f>
        <x:v>0</x:v>
      </x:c>
      <x:c r="F47" s="145" t="n">
        <x:f>F46*$B$10</x:f>
        <x:v>0</x:v>
      </x:c>
      <x:c r="G47" s="145" t="n">
        <x:f>G46*$B$10</x:f>
        <x:v>19.75934623837449</x:v>
      </x:c>
      <x:c r="H47" s="145" t="n">
        <x:f>H46*$B$10</x:f>
        <x:v>19.06070442026701</x:v>
      </x:c>
      <x:c r="I47" s="145" t="n">
        <x:f>I46*$B$10</x:f>
        <x:v>18.130521129958037</x:v>
      </x:c>
      <x:c r="J47" s="145" t="n">
        <x:f>J46*$B$10</x:f>
        <x:v>3.8221284646239946</x:v>
      </x:c>
      <x:c r="K47" s="145" t="n">
        <x:f>K46*$B$10</x:f>
        <x:v>3.8406396664799947</x:v>
      </x:c>
      <x:c r="L47" s="145" t="n">
        <x:f>L46*$B$10</x:f>
        <x:v>11.964121521360074</x:v>
      </x:c>
      <x:c r="M47" s="145" t="n">
        <x:f>M46*$B$10</x:f>
        <x:v>3.698372256002877</x:v>
      </x:c>
      <x:c r="N47" s="145" t="n">
        <x:f>N46*$B$10</x:f>
        <x:v>3.8801904378210565</x:v>
      </x:c>
      <x:c r="O47" s="145" t="n">
        <x:f>O46*$B$10</x:f>
        <x:v>3.7958384717814644</x:v>
      </x:c>
      <x:c r="P47" s="145" t="n">
        <x:f>P46*$B$10</x:f>
        <x:v>3.838014454801263</x:v>
      </x:c>
      <x:c r="Q47" s="145" t="n">
        <x:f>Q46*$B$10</x:f>
        <x:v>3.880190437821061</x:v>
      </x:c>
      <x:c r="R47" s="145" t="n">
        <x:f>R46*$B$10</x:f>
        <x:v>3.8801904378210565</x:v>
      </x:c>
      <x:c r="S47" s="145" t="n">
        <x:f>S46*$B$10</x:f>
        <x:v>3.7958384717814644</x:v>
      </x:c>
      <x:c r="T47" s="145" t="n">
        <x:f>T46*$B$10</x:f>
        <x:v>3.838014454801263</x:v>
      </x:c>
      <x:c r="U47" s="145" t="n">
        <x:f>U46*$B$10</x:f>
        <x:v>3.880190437821061</x:v>
      </x:c>
      <x:c r="V47" s="128"/>
    </x:row>
    <x:row r="48">
      <x:c r="A48" s="128" t="str">
        <x:v>Net proceeds</x:v>
      </x:c>
      <x:c r="B48" s="145" t="n">
        <x:f>B46-B47</x:f>
        <x:v>0</x:v>
      </x:c>
      <x:c r="C48" s="145" t="n">
        <x:f>C46-C47</x:f>
        <x:v>0</x:v>
      </x:c>
      <x:c r="D48" s="145" t="n">
        <x:f>D46-D47</x:f>
        <x:v>0</x:v>
      </x:c>
      <x:c r="E48" s="145" t="n">
        <x:f>E46-E47</x:f>
        <x:v>0</x:v>
      </x:c>
      <x:c r="F48" s="145" t="n">
        <x:f>F46-F47</x:f>
        <x:v>0</x:v>
      </x:c>
      <x:c r="G48" s="145" t="n">
        <x:f>G46-G47</x:f>
        <x:v>1956.1752775990747</x:v>
      </x:c>
      <x:c r="H48" s="145" t="n">
        <x:f>H46-H47</x:f>
        <x:v>1887.009737606434</x:v>
      </x:c>
      <x:c r="I48" s="145" t="n">
        <x:f>I46-I47</x:f>
        <x:v>1794.9215918658456</x:v>
      </x:c>
      <x:c r="J48" s="145" t="n">
        <x:f>J46-J47</x:f>
        <x:v>378.3907179977755</x:v>
      </x:c>
      <x:c r="K48" s="145" t="n">
        <x:f>K46-K47</x:f>
        <x:v>380.22332698151945</x:v>
      </x:c>
      <x:c r="L48" s="145" t="n">
        <x:f>L46-L47</x:f>
        <x:v>1184.4480306146472</x:v>
      </x:c>
      <x:c r="M48" s="145" t="n">
        <x:f>M46-M47</x:f>
        <x:v>366.1388533442848</x:v>
      </x:c>
      <x:c r="N48" s="145" t="n">
        <x:f>N46-N47</x:f>
        <x:v>384.1388533442846</x:v>
      </x:c>
      <x:c r="O48" s="145" t="n">
        <x:f>O46-O47</x:f>
        <x:v>375.78800870636496</x:v>
      </x:c>
      <x:c r="P48" s="145" t="n">
        <x:f>P46-P47</x:f>
        <x:v>379.963431025325</x:v>
      </x:c>
      <x:c r="Q48" s="145" t="n">
        <x:f>Q46-Q47</x:f>
        <x:v>384.13885334428505</x:v>
      </x:c>
      <x:c r="R48" s="145" t="n">
        <x:f>R46-R47</x:f>
        <x:v>384.1388533442846</x:v>
      </x:c>
      <x:c r="S48" s="145" t="n">
        <x:f>S46-S47</x:f>
        <x:v>375.78800870636496</x:v>
      </x:c>
      <x:c r="T48" s="145" t="n">
        <x:f>T46-T47</x:f>
        <x:v>379.963431025325</x:v>
      </x:c>
      <x:c r="U48" s="145" t="n">
        <x:f>U46-U47</x:f>
        <x:v>384.13885334428505</x:v>
      </x:c>
      <x:c r="V48" s="128"/>
    </x:row>
    <x:row r="49">
      <x:c r="A49" s="146" t="str">
        <x:v>Ending cash</x:v>
      </x:c>
      <x:c r="B49" s="148" t="n">
        <x:f>MAX(0,B30+B48-B43-B44)</x:f>
        <x:v>4551.199455427105</x:v>
      </x:c>
      <x:c r="C49" s="148" t="n">
        <x:f>MAX(0,C30+C48-C43-C44)</x:f>
        <x:v>4166.887130601644</x:v>
      </x:c>
      <x:c r="D49" s="148" t="n">
        <x:f>MAX(0,D30+D48-D43-D44)</x:f>
        <x:v>3778.3046688336763</x:v>
      </x:c>
      <x:c r="E49" s="148" t="n">
        <x:f>MAX(0,E30+E48-E43-E44)</x:f>
        <x:v>2375.452070123204</x:v>
      </x:c>
      <x:c r="F49" s="148" t="n">
        <x:f>MAX(0,F30+F48-F43-F44)</x:f>
        <x:v>1984.1894782573588</x:v>
      </x:c>
      <x:c r="G49" s="148" t="n">
        <x:f>MAX(0,G30+G48-G43-G44)</x:f>
        <x:v>1553.3550182499994</x:v>
      </x:c>
      <x:c r="H49" s="148" t="n">
        <x:f>MAX(0,H30+H48-H43-H44)</x:f>
        <x:v>1553.3550182499994</x:v>
      </x:c>
      <x:c r="I49" s="148" t="n">
        <x:f>MAX(0,I30+I48-I43-I44)</x:f>
        <x:v>1553.3550182499998</x:v>
      </x:c>
      <x:c r="J49" s="148" t="n">
        <x:f>MAX(0,J30+J48-J43-J44)</x:f>
        <x:v>1543.0730019999999</x:v>
      </x:c>
      <x:c r="K49" s="148" t="n">
        <x:f>MAX(0,K30+K48-K43-K44)</x:f>
        <x:v>1543.0730019999999</x:v>
      </x:c>
      <x:c r="L49" s="148" t="n">
        <x:f>MAX(0,L30+L48-L43-L44)</x:f>
        <x:v>1543.0730019999996</x:v>
      </x:c>
      <x:c r="M49" s="148" t="n">
        <x:f>MAX(0,M30+M48-M43-M44)</x:f>
        <x:v>1525.0730019999999</x:v>
      </x:c>
      <x:c r="N49" s="148" t="n">
        <x:f>MAX(0,N30+N48-N43-N44)</x:f>
        <x:v>1525.0730019999999</x:v>
      </x:c>
      <x:c r="O49" s="148" t="n">
        <x:f>MAX(0,O30+O48-O43-O44)</x:f>
        <x:v>1525.0730019999994</x:v>
      </x:c>
      <x:c r="P49" s="148" t="n">
        <x:f>MAX(0,P30+P48-P43-P44)</x:f>
        <x:v>1525.0730019999994</x:v>
      </x:c>
      <x:c r="Q49" s="148" t="n">
        <x:f>MAX(0,Q30+Q48-Q43-Q44)</x:f>
        <x:v>1525.0730019999999</x:v>
      </x:c>
      <x:c r="R49" s="148" t="n">
        <x:f>MAX(0,R30+R48-R43-R44)</x:f>
        <x:v>1525.0730019999999</x:v>
      </x:c>
      <x:c r="S49" s="148" t="n">
        <x:f>MAX(0,S30+S48-S43-S44)</x:f>
        <x:v>1525.0730019999994</x:v>
      </x:c>
      <x:c r="T49" s="148" t="n">
        <x:f>MAX(0,T30+T48-T43-T44)</x:f>
        <x:v>1525.0730019999994</x:v>
      </x:c>
      <x:c r="U49" s="148" t="n">
        <x:f>MAX(0,U30+U48-U43-U44)</x:f>
        <x:v>1525.0730019999999</x:v>
      </x:c>
      <x:c r="V49" s="128"/>
    </x:row>
    <x:row r="50">
      <x:c r="A50" s="128" t="str">
        <x:v>Unfunded amount this quarter</x:v>
      </x:c>
      <x:c r="B50" s="145" t="n">
        <x:f>MAX(0,B43+B44-B30-B48)</x:f>
        <x:v>0</x:v>
      </x:c>
      <x:c r="C50" s="145" t="n">
        <x:f>MAX(0,C43+C44-C30-C48)</x:f>
        <x:v>0</x:v>
      </x:c>
      <x:c r="D50" s="145" t="n">
        <x:f>MAX(0,D43+D44-D30-D48)</x:f>
        <x:v>0</x:v>
      </x:c>
      <x:c r="E50" s="145" t="n">
        <x:f>MAX(0,E43+E44-E30-E48)</x:f>
        <x:v>0</x:v>
      </x:c>
      <x:c r="F50" s="145" t="n">
        <x:f>MAX(0,F43+F44-F30-F48)</x:f>
        <x:v>0</x:v>
      </x:c>
      <x:c r="G50" s="145" t="n">
        <x:f>MAX(0,G43+G44-G30-G48)</x:f>
        <x:v>0</x:v>
      </x:c>
      <x:c r="H50" s="145" t="n">
        <x:f>MAX(0,H43+H44-H30-H48)</x:f>
        <x:v>0</x:v>
      </x:c>
      <x:c r="I50" s="145" t="n">
        <x:f>MAX(0,I43+I44-I30-I48)</x:f>
        <x:v>0</x:v>
      </x:c>
      <x:c r="J50" s="145" t="n">
        <x:f>MAX(0,J43+J44-J30-J48)</x:f>
        <x:v>0</x:v>
      </x:c>
      <x:c r="K50" s="145" t="n">
        <x:f>MAX(0,K43+K44-K30-K48)</x:f>
        <x:v>0</x:v>
      </x:c>
      <x:c r="L50" s="145" t="n">
        <x:f>MAX(0,L43+L44-L30-L48)</x:f>
        <x:v>0</x:v>
      </x:c>
      <x:c r="M50" s="145" t="n">
        <x:f>MAX(0,M43+M44-M30-M48)</x:f>
        <x:v>0</x:v>
      </x:c>
      <x:c r="N50" s="145" t="n">
        <x:f>MAX(0,N43+N44-N30-N48)</x:f>
        <x:v>0</x:v>
      </x:c>
      <x:c r="O50" s="145" t="n">
        <x:f>MAX(0,O43+O44-O30-O48)</x:f>
        <x:v>0</x:v>
      </x:c>
      <x:c r="P50" s="145" t="n">
        <x:f>MAX(0,P43+P44-P30-P48)</x:f>
        <x:v>0</x:v>
      </x:c>
      <x:c r="Q50" s="145" t="n">
        <x:f>MAX(0,Q43+Q44-Q30-Q48)</x:f>
        <x:v>0</x:v>
      </x:c>
      <x:c r="R50" s="145" t="n">
        <x:f>MAX(0,R43+R44-R30-R48)</x:f>
        <x:v>0</x:v>
      </x:c>
      <x:c r="S50" s="145" t="n">
        <x:f>MAX(0,S43+S44-S30-S48)</x:f>
        <x:v>0</x:v>
      </x:c>
      <x:c r="T50" s="145" t="n">
        <x:f>MAX(0,T43+T44-T30-T48)</x:f>
        <x:v>0</x:v>
      </x:c>
      <x:c r="U50" s="145" t="n">
        <x:f>MAX(0,U43+U44-U30-U48)</x:f>
        <x:v>0</x:v>
      </x:c>
      <x:c r="V50" s="128"/>
    </x:row>
    <x:row r="51">
      <x:c r="A51" s="146" t="str">
        <x:v>Cumulative unfunded amount</x:v>
      </x:c>
      <x:c r="B51" s="148" t="n">
        <x:f>B50</x:f>
        <x:v>0</x:v>
      </x:c>
      <x:c r="C51" s="148" t="n">
        <x:f>B51+C50</x:f>
        <x:v>0</x:v>
      </x:c>
      <x:c r="D51" s="148" t="n">
        <x:f>C51+D50</x:f>
        <x:v>0</x:v>
      </x:c>
      <x:c r="E51" s="148" t="n">
        <x:f>D51+E50</x:f>
        <x:v>0</x:v>
      </x:c>
      <x:c r="F51" s="148" t="n">
        <x:f>E51+F50</x:f>
        <x:v>0</x:v>
      </x:c>
      <x:c r="G51" s="148" t="n">
        <x:f>F51+G50</x:f>
        <x:v>0</x:v>
      </x:c>
      <x:c r="H51" s="148" t="n">
        <x:f>G51+H50</x:f>
        <x:v>0</x:v>
      </x:c>
      <x:c r="I51" s="148" t="n">
        <x:f>H51+I50</x:f>
        <x:v>0</x:v>
      </x:c>
      <x:c r="J51" s="148" t="n">
        <x:f>I51+J50</x:f>
        <x:v>0</x:v>
      </x:c>
      <x:c r="K51" s="148" t="n">
        <x:f>J51+K50</x:f>
        <x:v>0</x:v>
      </x:c>
      <x:c r="L51" s="148" t="n">
        <x:f>K51+L50</x:f>
        <x:v>0</x:v>
      </x:c>
      <x:c r="M51" s="148" t="n">
        <x:f>L51+M50</x:f>
        <x:v>0</x:v>
      </x:c>
      <x:c r="N51" s="148" t="n">
        <x:f>M51+N50</x:f>
        <x:v>0</x:v>
      </x:c>
      <x:c r="O51" s="148" t="n">
        <x:f>N51+O50</x:f>
        <x:v>0</x:v>
      </x:c>
      <x:c r="P51" s="148" t="n">
        <x:f>O51+P50</x:f>
        <x:v>0</x:v>
      </x:c>
      <x:c r="Q51" s="148" t="n">
        <x:f>P51+Q50</x:f>
        <x:v>0</x:v>
      </x:c>
      <x:c r="R51" s="148" t="n">
        <x:f>Q51+R50</x:f>
        <x:v>0</x:v>
      </x:c>
      <x:c r="S51" s="148" t="n">
        <x:f>R51+S50</x:f>
        <x:v>0</x:v>
      </x:c>
      <x:c r="T51" s="148" t="n">
        <x:f>S51+T50</x:f>
        <x:v>0</x:v>
      </x:c>
      <x:c r="U51" s="148" t="n">
        <x:f>T51+U50</x:f>
        <x:v>0</x:v>
      </x:c>
      <x:c r="V51" s="128"/>
    </x:row>
    <x:row r="52">
      <x:c r="A52" s="128" t="str">
        <x:v>Ending ATM capacity</x:v>
      </x:c>
      <x:c r="B52" s="145" t="n">
        <x:f>MAX(0,B31-B46)</x:f>
        <x:v>18807.6</x:v>
      </x:c>
      <x:c r="C52" s="145" t="n">
        <x:f>MAX(0,C31-C46)</x:f>
        <x:v>18807.6</x:v>
      </x:c>
      <x:c r="D52" s="145" t="n">
        <x:f>MAX(0,D31-D46)</x:f>
        <x:v>18807.6</x:v>
      </x:c>
      <x:c r="E52" s="145" t="n">
        <x:f>MAX(0,E31-E46)</x:f>
        <x:v>18807.6</x:v>
      </x:c>
      <x:c r="F52" s="145" t="n">
        <x:f>MAX(0,F31-F46)</x:f>
        <x:v>18807.6</x:v>
      </x:c>
      <x:c r="G52" s="145" t="n">
        <x:f>MAX(0,G31-G46)</x:f>
        <x:v>16831.66537616255</x:v>
      </x:c>
      <x:c r="H52" s="145" t="n">
        <x:f>MAX(0,H31-H46)</x:f>
        <x:v>14925.594934135848</x:v>
      </x:c>
      <x:c r="I52" s="145" t="n">
        <x:f>MAX(0,I31-I46)</x:f>
        <x:v>13112.542821140045</x:v>
      </x:c>
      <x:c r="J52" s="145" t="n">
        <x:f>MAX(0,J31-J46)</x:f>
        <x:v>12730.329974677645</x:v>
      </x:c>
      <x:c r="K52" s="145" t="n">
        <x:f>MAX(0,K31-K46)</x:f>
        <x:v>12346.266008029645</x:v>
      </x:c>
      <x:c r="L52" s="145" t="n">
        <x:f>MAX(0,L31-L46)</x:f>
        <x:v>11149.853855893638</x:v>
      </x:c>
      <x:c r="M52" s="145" t="n">
        <x:f>MAX(0,M31-M46)</x:f>
        <x:v>10780.01663029335</x:v>
      </x:c>
      <x:c r="N52" s="145" t="n">
        <x:f>MAX(0,N31-N46)</x:f>
        <x:v>10391.997586511245</x:v>
      </x:c>
      <x:c r="O52" s="145" t="n">
        <x:f>MAX(0,O31-O46)</x:f>
        <x:v>10012.413739333098</x:v>
      </x:c>
      <x:c r="P52" s="145" t="n">
        <x:f>MAX(0,P31-P46)</x:f>
        <x:v>9628.612293852972</x:v>
      </x:c>
      <x:c r="Q52" s="145" t="n">
        <x:f>MAX(0,Q31-Q46)</x:f>
        <x:v>9240.593250070866</x:v>
      </x:c>
      <x:c r="R52" s="145" t="n">
        <x:f>MAX(0,R31-R46)</x:f>
        <x:v>8852.57420628876</x:v>
      </x:c>
      <x:c r="S52" s="145" t="n">
        <x:f>MAX(0,S31-S46)</x:f>
        <x:v>8472.990359110614</x:v>
      </x:c>
      <x:c r="T52" s="145" t="n">
        <x:f>MAX(0,T31-T46)</x:f>
        <x:v>8089.188913630488</x:v>
      </x:c>
      <x:c r="U52" s="145" t="n">
        <x:f>MAX(0,U31-U46)</x:f>
        <x:v>7701.1698698483815</x:v>
      </x:c>
      <x:c r="V52" s="128"/>
    </x:row>
    <x:row r="53">
      <x:c r="A53" s="128" t="str">
        <x:v>New common shares (m)</x:v>
      </x:c>
      <x:c r="B53" s="145" t="n">
        <x:f>IF(B39=0,0,(B46+IF(STRK_In_Stock="Yes",Div_STRK*B26,0))/B39)</x:f>
        <x:v>0</x:v>
      </x:c>
      <x:c r="C53" s="145" t="n">
        <x:f>IF(C39=0,0,(C46+IF(STRK_In_Stock="Yes",Div_STRK*C26,0))/C39)</x:f>
        <x:v>0</x:v>
      </x:c>
      <x:c r="D53" s="145" t="n">
        <x:f>IF(D39=0,0,(D46+IF(STRK_In_Stock="Yes",Div_STRK*D26,0))/D39)</x:f>
        <x:v>0</x:v>
      </x:c>
      <x:c r="E53" s="145" t="n">
        <x:f>IF(E39=0,0,(E46+IF(STRK_In_Stock="Yes",Div_STRK*E26,0))/E39)</x:f>
        <x:v>0</x:v>
      </x:c>
      <x:c r="F53" s="145" t="n">
        <x:f>IF(F39=0,0,(F46+IF(STRK_In_Stock="Yes",Div_STRK*F26,0))/F39)</x:f>
        <x:v>0</x:v>
      </x:c>
      <x:c r="G53" s="145" t="n">
        <x:f>IF(G39=0,0,(G46+IF(STRK_In_Stock="Yes",Div_STRK*G26,0))/G39)</x:f>
        <x:v>13.554414094930918</x:v>
      </x:c>
      <x:c r="H53" s="145" t="n">
        <x:f>IF(H39=0,0,(H46+IF(STRK_In_Stock="Yes",Div_STRK*H26,0))/H39)</x:f>
        <x:v>13.102344838859576</x:v>
      </x:c>
      <x:c r="I53" s="145" t="n">
        <x:f>IF(I39=0,0,(I46+IF(STRK_In_Stock="Yes",Div_STRK*I26,0))/I39)</x:f>
        <x:v>12.490308604489474</x:v>
      </x:c>
      <x:c r="J53" s="145" t="n">
        <x:f>IF(J39=0,0,(J46+IF(STRK_In_Stock="Yes",Div_STRK*J26,0))/J39)</x:f>
        <x:v>2.6395342394865358</x:v>
      </x:c>
      <x:c r="K53" s="145" t="n">
        <x:f>IF(K39=0,0,(K46+IF(STRK_In_Stock="Yes",Div_STRK*K26,0))/K39)</x:f>
        <x:v>2.667856836821564</x:v>
      </x:c>
      <x:c r="L53" s="145" t="n">
        <x:f>IF(L39=0,0,(L46+IF(STRK_In_Stock="Yes",Div_STRK*L26,0))/L39)</x:f>
        <x:v>8.358168126704523</x:v>
      </x:c>
      <x:c r="M53" s="145" t="n">
        <x:f>IF(M39=0,0,(M46+IF(STRK_In_Stock="Yes",Div_STRK*M26,0))/M39)</x:f>
        <x:v>2.593414276369803</x:v>
      </x:c>
      <x:c r="N53" s="145" t="n">
        <x:f>IF(N39=0,0,(N46+IF(STRK_In_Stock="Yes",Div_STRK*N26,0))/N39)</x:f>
        <x:v>2.7365049665493437</x:v>
      </x:c>
      <x:c r="O53" s="145" t="n">
        <x:f>IF(O39=0,0,(O46+IF(STRK_In_Stock="Yes",Div_STRK*O26,0))/O39)</x:f>
        <x:v>2.692242082183995</x:v>
      </x:c>
      <x:c r="P53" s="145" t="n">
        <x:f>IF(P39=0,0,(P46+IF(STRK_In_Stock="Yes",Div_STRK*P26,0))/P39)</x:f>
        <x:v>2.737302396525433</x:v>
      </x:c>
      <x:c r="Q53" s="145" t="n">
        <x:f>IF(Q39=0,0,(Q46+IF(STRK_In_Stock="Yes",Div_STRK*Q26,0))/Q39)</x:f>
        <x:v>2.782951895731427</x:v>
      </x:c>
      <x:c r="R53" s="145" t="n">
        <x:f>IF(R39=0,0,(R46+IF(STRK_In_Stock="Yes",Div_STRK*R26,0))/R39)</x:f>
        <x:v>2.7987807944522394</x:v>
      </x:c>
      <x:c r="S53" s="145" t="n">
        <x:f>IF(S39=0,0,(S46+IF(STRK_In_Stock="Yes",Div_STRK*S26,0))/S39)</x:f>
        <x:v>2.753510600470092</x:v>
      </x:c>
      <x:c r="T53" s="145" t="n">
        <x:f>IF(T39=0,0,(T46+IF(STRK_In_Stock="Yes",Div_STRK*T26,0))/T39)</x:f>
        <x:v>2.799596371887428</x:v>
      </x:c>
      <x:c r="U53" s="145" t="n">
        <x:f>IF(U39=0,0,(U46+IF(STRK_In_Stock="Yes",Div_STRK*U26,0))/U39)</x:f>
        <x:v>2.8462847365042863</x:v>
      </x:c>
      <x:c r="V53" s="128"/>
    </x:row>
    <x:row r="54">
      <x:c r="A54" s="128" t="str">
        <x:v>Ending basic shares (m)</x:v>
      </x:c>
      <x:c r="B54" s="145" t="n">
        <x:f>SUM(B32,B53)</x:f>
        <x:v>421.761</x:v>
      </x:c>
      <x:c r="C54" s="145" t="n">
        <x:f>SUM(C32,C53)</x:f>
        <x:v>421.761</x:v>
      </x:c>
      <x:c r="D54" s="145" t="n">
        <x:f>SUM(D32,D53)</x:f>
        <x:v>421.761</x:v>
      </x:c>
      <x:c r="E54" s="145" t="n">
        <x:f>SUM(E32,E53)</x:f>
        <x:v>421.761</x:v>
      </x:c>
      <x:c r="F54" s="145" t="n">
        <x:f>SUM(F32,F53)</x:f>
        <x:v>421.761</x:v>
      </x:c>
      <x:c r="G54" s="145" t="n">
        <x:f>SUM(G32,G53)</x:f>
        <x:v>435.31541409493093</x:v>
      </x:c>
      <x:c r="H54" s="145" t="n">
        <x:f>SUM(H32,H53)</x:f>
        <x:v>448.4177589337905</x:v>
      </x:c>
      <x:c r="I54" s="145" t="n">
        <x:f>SUM(I32,I53)</x:f>
        <x:v>460.90806753827997</x:v>
      </x:c>
      <x:c r="J54" s="145" t="n">
        <x:f>SUM(J32,J53)</x:f>
        <x:v>463.5476017777665</x:v>
      </x:c>
      <x:c r="K54" s="145" t="n">
        <x:f>SUM(K32,K53)</x:f>
        <x:v>466.21545861458804</x:v>
      </x:c>
      <x:c r="L54" s="145" t="n">
        <x:f>SUM(L32,L53)</x:f>
        <x:v>474.57362674129257</x:v>
      </x:c>
      <x:c r="M54" s="145" t="n">
        <x:f>SUM(M32,M53)</x:f>
        <x:v>477.16704101766237</x:v>
      </x:c>
      <x:c r="N54" s="145" t="n">
        <x:f>SUM(N32,N53)</x:f>
        <x:v>479.9035459842117</x:v>
      </x:c>
      <x:c r="O54" s="145" t="n">
        <x:f>SUM(O32,O53)</x:f>
        <x:v>482.5957880663957</x:v>
      </x:c>
      <x:c r="P54" s="145" t="n">
        <x:f>SUM(P32,P53)</x:f>
        <x:v>485.3330904629211</x:v>
      </x:c>
      <x:c r="Q54" s="145" t="n">
        <x:f>SUM(Q32,Q53)</x:f>
        <x:v>488.1160423586525</x:v>
      </x:c>
      <x:c r="R54" s="145" t="n">
        <x:f>SUM(R32,R53)</x:f>
        <x:v>490.91482315310475</x:v>
      </x:c>
      <x:c r="S54" s="145" t="n">
        <x:f>SUM(S32,S53)</x:f>
        <x:v>493.6683337535748</x:v>
      </x:c>
      <x:c r="T54" s="145" t="n">
        <x:f>SUM(T32,T53)</x:f>
        <x:v>496.46793012546226</x:v>
      </x:c>
      <x:c r="U54" s="145" t="n">
        <x:f>SUM(U32,U53)</x:f>
        <x:v>499.31421486196655</x:v>
      </x:c>
      <x:c r="V54" s="128"/>
    </x:row>
    <x:row r="55">
      <x:c r="A55" s="128" t="str">
        <x:v>Months of charges in cash</x:v>
      </x:c>
      <x:c r="B55" s="145" t="n">
        <x:f>B49/(B43/B26)*12</x:f>
        <x:v>35.01668966370761</x:v>
      </x:c>
      <x:c r="C55" s="145" t="n">
        <x:f>C49/(C43/C26)*12</x:f>
        <x:v>32.05981081360495</x:v>
      </x:c>
      <x:c r="D55" s="145" t="n">
        <x:f>D49/(D43/D26)*12</x:f>
        <x:v>29.070077754056683</x:v>
      </x:c>
      <x:c r="E55" s="145" t="n">
        <x:f>E49/(E43/E26)*12</x:f>
        <x:v>18.27660351192189</x:v>
      </x:c>
      <x:c r="F55" s="145" t="n">
        <x:f>F49/(F43/F26)*12</x:f>
        <x:v>15.328288420449317</x:v>
      </x:c>
      <x:c r="G55" s="145" t="n">
        <x:f>G49/(G43/G26)*12</x:f>
        <x:v>11.999999999999998</x:v>
      </x:c>
      <x:c r="H55" s="145" t="n">
        <x:f>H49/(H43/H26)*12</x:f>
        <x:v>11.999999999999998</x:v>
      </x:c>
      <x:c r="I55" s="145" t="n">
        <x:f>I49/(I43/I26)*12</x:f>
        <x:v>12.000000000000004</x:v>
      </x:c>
      <x:c r="J55" s="145" t="n">
        <x:f>J49/(J43/J26)*12</x:f>
        <x:v>12.000000000000004</x:v>
      </x:c>
      <x:c r="K55" s="145" t="n">
        <x:f>K49/(K43/K26)*12</x:f>
        <x:v>12.000000000000004</x:v>
      </x:c>
      <x:c r="L55" s="145" t="n">
        <x:f>L49/(L43/L26)*12</x:f>
        <x:v>12.000000000000004</x:v>
      </x:c>
      <x:c r="M55" s="145" t="n">
        <x:f>M49/(M43/M26)*12</x:f>
        <x:v>12.000000000000004</x:v>
      </x:c>
      <x:c r="N55" s="145" t="n">
        <x:f>N49/(N43/N26)*12</x:f>
        <x:v>12.000000000000004</x:v>
      </x:c>
      <x:c r="O55" s="145" t="n">
        <x:f>O49/(O43/O26)*12</x:f>
        <x:v>12</x:v>
      </x:c>
      <x:c r="P55" s="145" t="n">
        <x:f>P49/(P43/P26)*12</x:f>
        <x:v>12</x:v>
      </x:c>
      <x:c r="Q55" s="145" t="n">
        <x:f>Q49/(Q43/Q26)*12</x:f>
        <x:v>12.000000000000004</x:v>
      </x:c>
      <x:c r="R55" s="145" t="n">
        <x:f>R49/(R43/R26)*12</x:f>
        <x:v>12.000000000000004</x:v>
      </x:c>
      <x:c r="S55" s="145" t="n">
        <x:f>S49/(S43/S26)*12</x:f>
        <x:v>12</x:v>
      </x:c>
      <x:c r="T55" s="145" t="n">
        <x:f>T49/(T43/T26)*12</x:f>
        <x:v>12</x:v>
      </x:c>
      <x:c r="U55" s="145" t="n">
        <x:f>U49/(U43/U26)*12</x:f>
        <x:v>12.000000000000004</x:v>
      </x:c>
      <x:c r="V55" s="128"/>
    </x:row>
    <x:row r="56">
      <x:c r="A56" s="128" t="str">
        <x:v>Policy shortfall ($m)</x:v>
      </x:c>
      <x:c r="B56" s="145" t="n">
        <x:f>MAX(0,B43/B26*Reserve_Min_Months/12-B49)</x:f>
        <x:v>0</x:v>
      </x:c>
      <x:c r="C56" s="145" t="n">
        <x:f>MAX(0,C43/C26*Reserve_Min_Months/12-C49)</x:f>
        <x:v>0</x:v>
      </x:c>
      <x:c r="D56" s="145" t="n">
        <x:f>MAX(0,D43/D26*Reserve_Min_Months/12-D49)</x:f>
        <x:v>0</x:v>
      </x:c>
      <x:c r="E56" s="145" t="n">
        <x:f>MAX(0,E43/E26*Reserve_Min_Months/12-E49)</x:f>
        <x:v>0</x:v>
      </x:c>
      <x:c r="F56" s="145" t="n">
        <x:f>MAX(0,F43/F26*Reserve_Min_Months/12-F49)</x:f>
        <x:v>0</x:v>
      </x:c>
      <x:c r="G56" s="145" t="n">
        <x:f>MAX(0,G43/G26*Reserve_Min_Months/12-G49)</x:f>
        <x:v>2.2737367544323206e-13</x:v>
      </x:c>
      <x:c r="H56" s="145" t="n">
        <x:f>MAX(0,H43/H26*Reserve_Min_Months/12-H49)</x:f>
        <x:v>2.2737367544323206e-13</x:v>
      </x:c>
      <x:c r="I56" s="145" t="n">
        <x:f>MAX(0,I43/I26*Reserve_Min_Months/12-I49)</x:f>
        <x:v>0</x:v>
      </x:c>
      <x:c r="J56" s="145" t="n">
        <x:f>MAX(0,J43/J26*Reserve_Min_Months/12-J49)</x:f>
        <x:v>0</x:v>
      </x:c>
      <x:c r="K56" s="145" t="n">
        <x:f>MAX(0,K43/K26*Reserve_Min_Months/12-K49)</x:f>
        <x:v>0</x:v>
      </x:c>
      <x:c r="L56" s="145" t="n">
        <x:f>MAX(0,L43/L26*Reserve_Min_Months/12-L49)</x:f>
        <x:v>0</x:v>
      </x:c>
      <x:c r="M56" s="145" t="n">
        <x:f>MAX(0,M43/M26*Reserve_Min_Months/12-M49)</x:f>
        <x:v>0</x:v>
      </x:c>
      <x:c r="N56" s="145" t="n">
        <x:f>MAX(0,N43/N26*Reserve_Min_Months/12-N49)</x:f>
        <x:v>0</x:v>
      </x:c>
      <x:c r="O56" s="145" t="n">
        <x:f>MAX(0,O43/O26*Reserve_Min_Months/12-O49)</x:f>
        <x:v>0</x:v>
      </x:c>
      <x:c r="P56" s="145" t="n">
        <x:f>MAX(0,P43/P26*Reserve_Min_Months/12-P49)</x:f>
        <x:v>0</x:v>
      </x:c>
      <x:c r="Q56" s="145" t="n">
        <x:f>MAX(0,Q43/Q26*Reserve_Min_Months/12-Q49)</x:f>
        <x:v>0</x:v>
      </x:c>
      <x:c r="R56" s="145" t="n">
        <x:f>MAX(0,R43/R26*Reserve_Min_Months/12-R49)</x:f>
        <x:v>0</x:v>
      </x:c>
      <x:c r="S56" s="145" t="n">
        <x:f>MAX(0,S43/S26*Reserve_Min_Months/12-S49)</x:f>
        <x:v>0</x:v>
      </x:c>
      <x:c r="T56" s="145" t="n">
        <x:f>MAX(0,T43/T26*Reserve_Min_Months/12-T49)</x:f>
        <x:v>0</x:v>
      </x:c>
      <x:c r="U56" s="145" t="n">
        <x:f>MAX(0,U43/U26*Reserve_Min_Months/12-U49)</x:f>
        <x:v>0</x:v>
      </x:c>
      <x:c r="V56" s="128"/>
    </x:row>
    <x:row r="57">
      <x:c r="A57" s="146" t="str">
        <x:v>Cash equation residual</x:v>
      </x:c>
      <x:c r="B57" s="148" t="n">
        <x:f>B30+B48+B50-B43-B44-B49</x:f>
        <x:v>0</x:v>
      </x:c>
      <x:c r="C57" s="148" t="n">
        <x:f>C30+C48+C50-C43-C44-C49</x:f>
        <x:v>0</x:v>
      </x:c>
      <x:c r="D57" s="148" t="n">
        <x:f>D30+D48+D50-D43-D44-D49</x:f>
        <x:v>0</x:v>
      </x:c>
      <x:c r="E57" s="148" t="n">
        <x:f>E30+E48+E50-E43-E44-E49</x:f>
        <x:v>0</x:v>
      </x:c>
      <x:c r="F57" s="148" t="n">
        <x:f>F30+F48+F50-F43-F44-F49</x:f>
        <x:v>0</x:v>
      </x:c>
      <x:c r="G57" s="148" t="n">
        <x:f>G30+G48+G50-G43-G44-G49</x:f>
        <x:v>0</x:v>
      </x:c>
      <x:c r="H57" s="148" t="n">
        <x:f>H30+H48+H50-H43-H44-H49</x:f>
        <x:v>0</x:v>
      </x:c>
      <x:c r="I57" s="148" t="n">
        <x:f>I30+I48+I50-I43-I44-I49</x:f>
        <x:v>0</x:v>
      </x:c>
      <x:c r="J57" s="148" t="n">
        <x:f>J30+J48+J50-J43-J44-J49</x:f>
        <x:v>0</x:v>
      </x:c>
      <x:c r="K57" s="148" t="n">
        <x:f>K30+K48+K50-K43-K44-K49</x:f>
        <x:v>0</x:v>
      </x:c>
      <x:c r="L57" s="148" t="n">
        <x:f>L30+L48+L50-L43-L44-L49</x:f>
        <x:v>0</x:v>
      </x:c>
      <x:c r="M57" s="148" t="n">
        <x:f>M30+M48+M50-M43-M44-M49</x:f>
        <x:v>0</x:v>
      </x:c>
      <x:c r="N57" s="148" t="n">
        <x:f>N30+N48+N50-N43-N44-N49</x:f>
        <x:v>0</x:v>
      </x:c>
      <x:c r="O57" s="148" t="n">
        <x:f>O30+O48+O50-O43-O44-O49</x:f>
        <x:v>0</x:v>
      </x:c>
      <x:c r="P57" s="148" t="n">
        <x:f>P30+P48+P50-P43-P44-P49</x:f>
        <x:v>0</x:v>
      </x:c>
      <x:c r="Q57" s="148" t="n">
        <x:f>Q30+Q48+Q50-Q43-Q44-Q49</x:f>
        <x:v>0</x:v>
      </x:c>
      <x:c r="R57" s="148" t="n">
        <x:f>R30+R48+R50-R43-R44-R49</x:f>
        <x:v>0</x:v>
      </x:c>
      <x:c r="S57" s="148" t="n">
        <x:f>S30+S48+S50-S43-S44-S49</x:f>
        <x:v>0</x:v>
      </x:c>
      <x:c r="T57" s="148" t="n">
        <x:f>T30+T48+T50-T43-T44-T49</x:f>
        <x:v>0</x:v>
      </x:c>
      <x:c r="U57" s="148" t="n">
        <x:f>U30+U48+U50-U43-U44-U49</x:f>
        <x:v>0</x:v>
      </x:c>
      <x:c r="V57" s="128"/>
    </x:row>
    <x:row r="58">
      <x:c r="A58" s="128" t="str">
        <x:v>Put risk: notes below conversion</x:v>
      </x:c>
      <x:c r="B58" s="145" t="n">
        <x:f>IF(AND('Net NAV'!D5&gt;=B25,'Net NAV'!D5&lt;=B24,B39&lt;'Net NAV'!C5),'Net NAV'!B5,0)+IF(AND('Net NAV'!D6&gt;=B25,'Net NAV'!D6&lt;=B24,B39&lt;'Net NAV'!C6),'Net NAV'!B6,0)+IF(AND('Net NAV'!D7&gt;=B25,'Net NAV'!D7&lt;=B24,B39&lt;'Net NAV'!C7),'Net NAV'!B7,0)+IF(AND('Net NAV'!D8&gt;=B25,'Net NAV'!D8&lt;=B24,B39&lt;'Net NAV'!C8),'Net NAV'!B8,0)+IF(AND('Net NAV'!D9&gt;=B25,'Net NAV'!D9&lt;=B24,B39&lt;'Net NAV'!C9),'Net NAV'!B9,0)+IF(AND('Net NAV'!D10&gt;=B25,'Net NAV'!D10&lt;=B24,B39&lt;'Net NAV'!C10),'Net NAV'!B10,0)</x:f>
        <x:v>0</x:v>
      </x:c>
      <x:c r="C58" s="145" t="n">
        <x:f>IF(AND('Net NAV'!D5&gt;=C25,'Net NAV'!D5&lt;=C24,C39&lt;'Net NAV'!C5),'Net NAV'!B5,0)+IF(AND('Net NAV'!D6&gt;=C25,'Net NAV'!D6&lt;=C24,C39&lt;'Net NAV'!C6),'Net NAV'!B6,0)+IF(AND('Net NAV'!D7&gt;=C25,'Net NAV'!D7&lt;=C24,C39&lt;'Net NAV'!C7),'Net NAV'!B7,0)+IF(AND('Net NAV'!D8&gt;=C25,'Net NAV'!D8&lt;=C24,C39&lt;'Net NAV'!C8),'Net NAV'!B8,0)+IF(AND('Net NAV'!D9&gt;=C25,'Net NAV'!D9&lt;=C24,C39&lt;'Net NAV'!C9),'Net NAV'!B9,0)+IF(AND('Net NAV'!D10&gt;=C25,'Net NAV'!D10&lt;=C24,C39&lt;'Net NAV'!C10),'Net NAV'!B10,0)</x:f>
        <x:v>0</x:v>
      </x:c>
      <x:c r="D58" s="145" t="n">
        <x:f>IF(AND('Net NAV'!D5&gt;=D25,'Net NAV'!D5&lt;=D24,D39&lt;'Net NAV'!C5),'Net NAV'!B5,0)+IF(AND('Net NAV'!D6&gt;=D25,'Net NAV'!D6&lt;=D24,D39&lt;'Net NAV'!C6),'Net NAV'!B6,0)+IF(AND('Net NAV'!D7&gt;=D25,'Net NAV'!D7&lt;=D24,D39&lt;'Net NAV'!C7),'Net NAV'!B7,0)+IF(AND('Net NAV'!D8&gt;=D25,'Net NAV'!D8&lt;=D24,D39&lt;'Net NAV'!C8),'Net NAV'!B8,0)+IF(AND('Net NAV'!D9&gt;=D25,'Net NAV'!D9&lt;=D24,D39&lt;'Net NAV'!C9),'Net NAV'!B9,0)+IF(AND('Net NAV'!D10&gt;=D25,'Net NAV'!D10&lt;=D24,D39&lt;'Net NAV'!C10),'Net NAV'!B10,0)</x:f>
        <x:v>0</x:v>
      </x:c>
      <x:c r="E58" s="145" t="n">
        <x:f>IF(AND('Net NAV'!D5&gt;=E25,'Net NAV'!D5&lt;=E24,E39&lt;'Net NAV'!C5),'Net NAV'!B5,0)+IF(AND('Net NAV'!D6&gt;=E25,'Net NAV'!D6&lt;=E24,E39&lt;'Net NAV'!C6),'Net NAV'!B6,0)+IF(AND('Net NAV'!D7&gt;=E25,'Net NAV'!D7&lt;=E24,E39&lt;'Net NAV'!C7),'Net NAV'!B7,0)+IF(AND('Net NAV'!D8&gt;=E25,'Net NAV'!D8&lt;=E24,E39&lt;'Net NAV'!C8),'Net NAV'!B8,0)+IF(AND('Net NAV'!D9&gt;=E25,'Net NAV'!D9&lt;=E24,E39&lt;'Net NAV'!C9),'Net NAV'!B9,0)+IF(AND('Net NAV'!D10&gt;=E25,'Net NAV'!D10&lt;=E24,E39&lt;'Net NAV'!C10),'Net NAV'!B10,0)</x:f>
        <x:v>1010</x:v>
      </x:c>
      <x:c r="F58" s="145" t="n">
        <x:f>IF(AND('Net NAV'!D5&gt;=F25,'Net NAV'!D5&lt;=F24,F39&lt;'Net NAV'!C5),'Net NAV'!B5,0)+IF(AND('Net NAV'!D6&gt;=F25,'Net NAV'!D6&lt;=F24,F39&lt;'Net NAV'!C6),'Net NAV'!B6,0)+IF(AND('Net NAV'!D7&gt;=F25,'Net NAV'!D7&lt;=F24,F39&lt;'Net NAV'!C7),'Net NAV'!B7,0)+IF(AND('Net NAV'!D8&gt;=F25,'Net NAV'!D8&lt;=F24,F39&lt;'Net NAV'!C8),'Net NAV'!B8,0)+IF(AND('Net NAV'!D9&gt;=F25,'Net NAV'!D9&lt;=F24,F39&lt;'Net NAV'!C9),'Net NAV'!B9,0)+IF(AND('Net NAV'!D10&gt;=F25,'Net NAV'!D10&lt;=F24,F39&lt;'Net NAV'!C10),'Net NAV'!B10,0)</x:f>
        <x:v>0</x:v>
      </x:c>
      <x:c r="G58" s="145" t="n">
        <x:f>IF(AND('Net NAV'!D5&gt;=G25,'Net NAV'!D5&lt;=G24,G39&lt;'Net NAV'!C5),'Net NAV'!B5,0)+IF(AND('Net NAV'!D6&gt;=G25,'Net NAV'!D6&lt;=G24,G39&lt;'Net NAV'!C6),'Net NAV'!B6,0)+IF(AND('Net NAV'!D7&gt;=G25,'Net NAV'!D7&lt;=G24,G39&lt;'Net NAV'!C7),'Net NAV'!B7,0)+IF(AND('Net NAV'!D8&gt;=G25,'Net NAV'!D8&lt;=G24,G39&lt;'Net NAV'!C8),'Net NAV'!B8,0)+IF(AND('Net NAV'!D9&gt;=G25,'Net NAV'!D9&lt;=G24,G39&lt;'Net NAV'!C9),'Net NAV'!B9,0)+IF(AND('Net NAV'!D10&gt;=G25,'Net NAV'!D10&lt;=G24,G39&lt;'Net NAV'!C10),'Net NAV'!B10,0)</x:f>
        <x:v>2000</x:v>
      </x:c>
      <x:c r="H58" s="145" t="n">
        <x:f>IF(AND('Net NAV'!D5&gt;=H25,'Net NAV'!D5&lt;=H24,H39&lt;'Net NAV'!C5),'Net NAV'!B5,0)+IF(AND('Net NAV'!D6&gt;=H25,'Net NAV'!D6&lt;=H24,H39&lt;'Net NAV'!C6),'Net NAV'!B6,0)+IF(AND('Net NAV'!D7&gt;=H25,'Net NAV'!D7&lt;=H24,H39&lt;'Net NAV'!C7),'Net NAV'!B7,0)+IF(AND('Net NAV'!D8&gt;=H25,'Net NAV'!D8&lt;=H24,H39&lt;'Net NAV'!C8),'Net NAV'!B8,0)+IF(AND('Net NAV'!D9&gt;=H25,'Net NAV'!D9&lt;=H24,H39&lt;'Net NAV'!C9),'Net NAV'!B9,0)+IF(AND('Net NAV'!D10&gt;=H25,'Net NAV'!D10&lt;=H24,H39&lt;'Net NAV'!C10),'Net NAV'!B10,0)</x:f>
        <x:v>1500</x:v>
      </x:c>
      <x:c r="I58" s="145" t="n">
        <x:f>IF(AND('Net NAV'!D5&gt;=I25,'Net NAV'!D5&lt;=I24,I39&lt;'Net NAV'!C5),'Net NAV'!B5,0)+IF(AND('Net NAV'!D6&gt;=I25,'Net NAV'!D6&lt;=I24,I39&lt;'Net NAV'!C6),'Net NAV'!B6,0)+IF(AND('Net NAV'!D7&gt;=I25,'Net NAV'!D7&lt;=I24,I39&lt;'Net NAV'!C7),'Net NAV'!B7,0)+IF(AND('Net NAV'!D8&gt;=I25,'Net NAV'!D8&lt;=I24,I39&lt;'Net NAV'!C8),'Net NAV'!B8,0)+IF(AND('Net NAV'!D9&gt;=I25,'Net NAV'!D9&lt;=I24,I39&lt;'Net NAV'!C9),'Net NAV'!B9,0)+IF(AND('Net NAV'!D10&gt;=I25,'Net NAV'!D10&lt;=I24,I39&lt;'Net NAV'!C10),'Net NAV'!B10,0)</x:f>
        <x:v>1403.659</x:v>
      </x:c>
      <x:c r="J58" s="145" t="n">
        <x:f>IF(AND('Net NAV'!D5&gt;=J25,'Net NAV'!D5&lt;=J24,J39&lt;'Net NAV'!C5),'Net NAV'!B5,0)+IF(AND('Net NAV'!D6&gt;=J25,'Net NAV'!D6&lt;=J24,J39&lt;'Net NAV'!C6),'Net NAV'!B6,0)+IF(AND('Net NAV'!D7&gt;=J25,'Net NAV'!D7&lt;=J24,J39&lt;'Net NAV'!C7),'Net NAV'!B7,0)+IF(AND('Net NAV'!D8&gt;=J25,'Net NAV'!D8&lt;=J24,J39&lt;'Net NAV'!C8),'Net NAV'!B8,0)+IF(AND('Net NAV'!D9&gt;=J25,'Net NAV'!D9&lt;=J24,J39&lt;'Net NAV'!C9),'Net NAV'!B9,0)+IF(AND('Net NAV'!D10&gt;=J25,'Net NAV'!D10&lt;=J24,J39&lt;'Net NAV'!C10),'Net NAV'!B10,0)</x:f>
        <x:v>0</x:v>
      </x:c>
      <x:c r="K58" s="145" t="n">
        <x:f>IF(AND('Net NAV'!D5&gt;=K25,'Net NAV'!D5&lt;=K24,K39&lt;'Net NAV'!C5),'Net NAV'!B5,0)+IF(AND('Net NAV'!D6&gt;=K25,'Net NAV'!D6&lt;=K24,K39&lt;'Net NAV'!C6),'Net NAV'!B6,0)+IF(AND('Net NAV'!D7&gt;=K25,'Net NAV'!D7&lt;=K24,K39&lt;'Net NAV'!C7),'Net NAV'!B7,0)+IF(AND('Net NAV'!D8&gt;=K25,'Net NAV'!D8&lt;=K24,K39&lt;'Net NAV'!C8),'Net NAV'!B8,0)+IF(AND('Net NAV'!D9&gt;=K25,'Net NAV'!D9&lt;=K24,K39&lt;'Net NAV'!C9),'Net NAV'!B9,0)+IF(AND('Net NAV'!D10&gt;=K25,'Net NAV'!D10&lt;=K24,K39&lt;'Net NAV'!C10),'Net NAV'!B10,0)</x:f>
        <x:v>0</x:v>
      </x:c>
      <x:c r="L58" s="145" t="n">
        <x:f>IF(AND('Net NAV'!D5&gt;=L25,'Net NAV'!D5&lt;=L24,L39&lt;'Net NAV'!C5),'Net NAV'!B5,0)+IF(AND('Net NAV'!D6&gt;=L25,'Net NAV'!D6&lt;=L24,L39&lt;'Net NAV'!C6),'Net NAV'!B6,0)+IF(AND('Net NAV'!D7&gt;=L25,'Net NAV'!D7&lt;=L24,L39&lt;'Net NAV'!C7),'Net NAV'!B7,0)+IF(AND('Net NAV'!D8&gt;=L25,'Net NAV'!D8&lt;=L24,L39&lt;'Net NAV'!C8),'Net NAV'!B8,0)+IF(AND('Net NAV'!D9&gt;=L25,'Net NAV'!D9&lt;=L24,L39&lt;'Net NAV'!C9),'Net NAV'!B9,0)+IF(AND('Net NAV'!D10&gt;=L25,'Net NAV'!D10&lt;=L24,L39&lt;'Net NAV'!C10),'Net NAV'!B10,0)</x:f>
        <x:v>800</x:v>
      </x:c>
      <x:c r="M58" s="145" t="n">
        <x:f>IF(AND('Net NAV'!D5&gt;=M25,'Net NAV'!D5&lt;=M24,M39&lt;'Net NAV'!C5),'Net NAV'!B5,0)+IF(AND('Net NAV'!D6&gt;=M25,'Net NAV'!D6&lt;=M24,M39&lt;'Net NAV'!C6),'Net NAV'!B6,0)+IF(AND('Net NAV'!D7&gt;=M25,'Net NAV'!D7&lt;=M24,M39&lt;'Net NAV'!C7),'Net NAV'!B7,0)+IF(AND('Net NAV'!D8&gt;=M25,'Net NAV'!D8&lt;=M24,M39&lt;'Net NAV'!C8),'Net NAV'!B8,0)+IF(AND('Net NAV'!D9&gt;=M25,'Net NAV'!D9&lt;=M24,M39&lt;'Net NAV'!C9),'Net NAV'!B9,0)+IF(AND('Net NAV'!D10&gt;=M25,'Net NAV'!D10&lt;=M24,M39&lt;'Net NAV'!C10),'Net NAV'!B10,0)</x:f>
        <x:v>0</x:v>
      </x:c>
      <x:c r="N58" s="145" t="n">
        <x:f>IF(AND('Net NAV'!D5&gt;=N25,'Net NAV'!D5&lt;=N24,N39&lt;'Net NAV'!C5),'Net NAV'!B5,0)+IF(AND('Net NAV'!D6&gt;=N25,'Net NAV'!D6&lt;=N24,N39&lt;'Net NAV'!C6),'Net NAV'!B6,0)+IF(AND('Net NAV'!D7&gt;=N25,'Net NAV'!D7&lt;=N24,N39&lt;'Net NAV'!C7),'Net NAV'!B7,0)+IF(AND('Net NAV'!D8&gt;=N25,'Net NAV'!D8&lt;=N24,N39&lt;'Net NAV'!C8),'Net NAV'!B8,0)+IF(AND('Net NAV'!D9&gt;=N25,'Net NAV'!D9&lt;=N24,N39&lt;'Net NAV'!C9),'Net NAV'!B9,0)+IF(AND('Net NAV'!D10&gt;=N25,'Net NAV'!D10&lt;=N24,N39&lt;'Net NAV'!C10),'Net NAV'!B10,0)</x:f>
        <x:v>0</x:v>
      </x:c>
      <x:c r="O58" s="145" t="n">
        <x:f>IF(AND('Net NAV'!D5&gt;=O25,'Net NAV'!D5&lt;=O24,O39&lt;'Net NAV'!C5),'Net NAV'!B5,0)+IF(AND('Net NAV'!D6&gt;=O25,'Net NAV'!D6&lt;=O24,O39&lt;'Net NAV'!C6),'Net NAV'!B6,0)+IF(AND('Net NAV'!D7&gt;=O25,'Net NAV'!D7&lt;=O24,O39&lt;'Net NAV'!C7),'Net NAV'!B7,0)+IF(AND('Net NAV'!D8&gt;=O25,'Net NAV'!D8&lt;=O24,O39&lt;'Net NAV'!C8),'Net NAV'!B8,0)+IF(AND('Net NAV'!D9&gt;=O25,'Net NAV'!D9&lt;=O24,O39&lt;'Net NAV'!C9),'Net NAV'!B9,0)+IF(AND('Net NAV'!D10&gt;=O25,'Net NAV'!D10&lt;=O24,O39&lt;'Net NAV'!C10),'Net NAV'!B10,0)</x:f>
        <x:v>0</x:v>
      </x:c>
      <x:c r="P58" s="145" t="n">
        <x:f>IF(AND('Net NAV'!D5&gt;=P25,'Net NAV'!D5&lt;=P24,P39&lt;'Net NAV'!C5),'Net NAV'!B5,0)+IF(AND('Net NAV'!D6&gt;=P25,'Net NAV'!D6&lt;=P24,P39&lt;'Net NAV'!C6),'Net NAV'!B6,0)+IF(AND('Net NAV'!D7&gt;=P25,'Net NAV'!D7&lt;=P24,P39&lt;'Net NAV'!C7),'Net NAV'!B7,0)+IF(AND('Net NAV'!D8&gt;=P25,'Net NAV'!D8&lt;=P24,P39&lt;'Net NAV'!C8),'Net NAV'!B8,0)+IF(AND('Net NAV'!D9&gt;=P25,'Net NAV'!D9&lt;=P24,P39&lt;'Net NAV'!C9),'Net NAV'!B9,0)+IF(AND('Net NAV'!D10&gt;=P25,'Net NAV'!D10&lt;=P24,P39&lt;'Net NAV'!C10),'Net NAV'!B10,0)</x:f>
        <x:v>0</x:v>
      </x:c>
      <x:c r="Q58" s="145" t="n">
        <x:f>IF(AND('Net NAV'!D5&gt;=Q25,'Net NAV'!D5&lt;=Q24,Q39&lt;'Net NAV'!C5),'Net NAV'!B5,0)+IF(AND('Net NAV'!D6&gt;=Q25,'Net NAV'!D6&lt;=Q24,Q39&lt;'Net NAV'!C6),'Net NAV'!B6,0)+IF(AND('Net NAV'!D7&gt;=Q25,'Net NAV'!D7&lt;=Q24,Q39&lt;'Net NAV'!C7),'Net NAV'!B7,0)+IF(AND('Net NAV'!D8&gt;=Q25,'Net NAV'!D8&lt;=Q24,Q39&lt;'Net NAV'!C8),'Net NAV'!B8,0)+IF(AND('Net NAV'!D9&gt;=Q25,'Net NAV'!D9&lt;=Q24,Q39&lt;'Net NAV'!C9),'Net NAV'!B9,0)+IF(AND('Net NAV'!D10&gt;=Q25,'Net NAV'!D10&lt;=Q24,Q39&lt;'Net NAV'!C10),'Net NAV'!B10,0)</x:f>
        <x:v>0</x:v>
      </x:c>
      <x:c r="R58" s="145" t="n">
        <x:f>IF(AND('Net NAV'!D5&gt;=R25,'Net NAV'!D5&lt;=R24,R39&lt;'Net NAV'!C5),'Net NAV'!B5,0)+IF(AND('Net NAV'!D6&gt;=R25,'Net NAV'!D6&lt;=R24,R39&lt;'Net NAV'!C6),'Net NAV'!B6,0)+IF(AND('Net NAV'!D7&gt;=R25,'Net NAV'!D7&lt;=R24,R39&lt;'Net NAV'!C7),'Net NAV'!B7,0)+IF(AND('Net NAV'!D8&gt;=R25,'Net NAV'!D8&lt;=R24,R39&lt;'Net NAV'!C8),'Net NAV'!B8,0)+IF(AND('Net NAV'!D9&gt;=R25,'Net NAV'!D9&lt;=R24,R39&lt;'Net NAV'!C9),'Net NAV'!B9,0)+IF(AND('Net NAV'!D10&gt;=R25,'Net NAV'!D10&lt;=R24,R39&lt;'Net NAV'!C10),'Net NAV'!B10,0)</x:f>
        <x:v>0</x:v>
      </x:c>
      <x:c r="S58" s="145" t="n">
        <x:f>IF(AND('Net NAV'!D5&gt;=S25,'Net NAV'!D5&lt;=S24,S39&lt;'Net NAV'!C5),'Net NAV'!B5,0)+IF(AND('Net NAV'!D6&gt;=S25,'Net NAV'!D6&lt;=S24,S39&lt;'Net NAV'!C6),'Net NAV'!B6,0)+IF(AND('Net NAV'!D7&gt;=S25,'Net NAV'!D7&lt;=S24,S39&lt;'Net NAV'!C7),'Net NAV'!B7,0)+IF(AND('Net NAV'!D8&gt;=S25,'Net NAV'!D8&lt;=S24,S39&lt;'Net NAV'!C8),'Net NAV'!B8,0)+IF(AND('Net NAV'!D9&gt;=S25,'Net NAV'!D9&lt;=S24,S39&lt;'Net NAV'!C9),'Net NAV'!B9,0)+IF(AND('Net NAV'!D10&gt;=S25,'Net NAV'!D10&lt;=S24,S39&lt;'Net NAV'!C10),'Net NAV'!B10,0)</x:f>
        <x:v>0</x:v>
      </x:c>
      <x:c r="T58" s="145" t="n">
        <x:f>IF(AND('Net NAV'!D5&gt;=T25,'Net NAV'!D5&lt;=T24,T39&lt;'Net NAV'!C5),'Net NAV'!B5,0)+IF(AND('Net NAV'!D6&gt;=T25,'Net NAV'!D6&lt;=T24,T39&lt;'Net NAV'!C6),'Net NAV'!B6,0)+IF(AND('Net NAV'!D7&gt;=T25,'Net NAV'!D7&lt;=T24,T39&lt;'Net NAV'!C7),'Net NAV'!B7,0)+IF(AND('Net NAV'!D8&gt;=T25,'Net NAV'!D8&lt;=T24,T39&lt;'Net NAV'!C8),'Net NAV'!B8,0)+IF(AND('Net NAV'!D9&gt;=T25,'Net NAV'!D9&lt;=T24,T39&lt;'Net NAV'!C9),'Net NAV'!B9,0)+IF(AND('Net NAV'!D10&gt;=T25,'Net NAV'!D10&lt;=T24,T39&lt;'Net NAV'!C10),'Net NAV'!B10,0)</x:f>
        <x:v>0</x:v>
      </x:c>
      <x:c r="U58" s="145" t="n">
        <x:f>IF(AND('Net NAV'!D5&gt;=U25,'Net NAV'!D5&lt;=U24,U39&lt;'Net NAV'!C5),'Net NAV'!B5,0)+IF(AND('Net NAV'!D6&gt;=U25,'Net NAV'!D6&lt;=U24,U39&lt;'Net NAV'!C6),'Net NAV'!B6,0)+IF(AND('Net NAV'!D7&gt;=U25,'Net NAV'!D7&lt;=U24,U39&lt;'Net NAV'!C7),'Net NAV'!B7,0)+IF(AND('Net NAV'!D8&gt;=U25,'Net NAV'!D8&lt;=U24,U39&lt;'Net NAV'!C8),'Net NAV'!B8,0)+IF(AND('Net NAV'!D9&gt;=U25,'Net NAV'!D9&lt;=U24,U39&lt;'Net NAV'!C9),'Net NAV'!B9,0)+IF(AND('Net NAV'!D10&gt;=U25,'Net NAV'!D10&lt;=U24,U39&lt;'Net NAV'!C10),'Net NAV'!B10,0)</x:f>
        <x:v>0</x:v>
      </x:c>
      <x:c r="V58" s="128"/>
    </x:row>
    <x:row r="59">
      <x:c r="A59" s="128" t="str">
        <x:v>Debt remaining after puts</x:v>
      </x:c>
      <x:c r="B59" s="145" t="n">
        <x:f>SUM('Net NAV'!$B$5:$B$10)-SUMIFS('Net NAV'!$B$5:$B$10,'Net NAV'!$D$5:$D$10,"&lt;="&amp;B24)*$B$9</x:f>
        <x:v>6713.659</x:v>
      </x:c>
      <x:c r="C59" s="145" t="n">
        <x:f>SUM('Net NAV'!$B$5:$B$10)-SUMIFS('Net NAV'!$B$5:$B$10,'Net NAV'!$D$5:$D$10,"&lt;="&amp;C24)*$B$9</x:f>
        <x:v>6713.659</x:v>
      </x:c>
      <x:c r="D59" s="145" t="n">
        <x:f>SUM('Net NAV'!$B$5:$B$10)-SUMIFS('Net NAV'!$B$5:$B$10,'Net NAV'!$D$5:$D$10,"&lt;="&amp;D24)*$B$9</x:f>
        <x:v>6713.659</x:v>
      </x:c>
      <x:c r="E59" s="145" t="n">
        <x:f>SUM('Net NAV'!$B$5:$B$10)-SUMIFS('Net NAV'!$B$5:$B$10,'Net NAV'!$D$5:$D$10,"&lt;="&amp;E24)*$B$9</x:f>
        <x:v>5703.659</x:v>
      </x:c>
      <x:c r="F59" s="145" t="n">
        <x:f>SUM('Net NAV'!$B$5:$B$10)-SUMIFS('Net NAV'!$B$5:$B$10,'Net NAV'!$D$5:$D$10,"&lt;="&amp;F24)*$B$9</x:f>
        <x:v>5703.659</x:v>
      </x:c>
      <x:c r="G59" s="145" t="n">
        <x:f>SUM('Net NAV'!$B$5:$B$10)-SUMIFS('Net NAV'!$B$5:$B$10,'Net NAV'!$D$5:$D$10,"&lt;="&amp;G24)*$B$9</x:f>
        <x:v>3703.6589999999997</x:v>
      </x:c>
      <x:c r="H59" s="145" t="n">
        <x:f>SUM('Net NAV'!$B$5:$B$10)-SUMIFS('Net NAV'!$B$5:$B$10,'Net NAV'!$D$5:$D$10,"&lt;="&amp;H24)*$B$9</x:f>
        <x:v>2203.6589999999997</x:v>
      </x:c>
      <x:c r="I59" s="145" t="n">
        <x:f>SUM('Net NAV'!$B$5:$B$10)-SUMIFS('Net NAV'!$B$5:$B$10,'Net NAV'!$D$5:$D$10,"&lt;="&amp;I24)*$B$9</x:f>
        <x:v>800</x:v>
      </x:c>
      <x:c r="J59" s="145" t="n">
        <x:f>SUM('Net NAV'!$B$5:$B$10)-SUMIFS('Net NAV'!$B$5:$B$10,'Net NAV'!$D$5:$D$10,"&lt;="&amp;J24)*$B$9</x:f>
        <x:v>800</x:v>
      </x:c>
      <x:c r="K59" s="145" t="n">
        <x:f>SUM('Net NAV'!$B$5:$B$10)-SUMIFS('Net NAV'!$B$5:$B$10,'Net NAV'!$D$5:$D$10,"&lt;="&amp;K24)*$B$9</x:f>
        <x:v>800</x:v>
      </x:c>
      <x:c r="L59" s="145" t="n">
        <x:f>SUM('Net NAV'!$B$5:$B$10)-SUMIFS('Net NAV'!$B$5:$B$10,'Net NAV'!$D$5:$D$10,"&lt;="&amp;L24)*$B$9</x:f>
        <x:v>0</x:v>
      </x:c>
      <x:c r="M59" s="145" t="n">
        <x:f>SUM('Net NAV'!$B$5:$B$10)-SUMIFS('Net NAV'!$B$5:$B$10,'Net NAV'!$D$5:$D$10,"&lt;="&amp;M24)*$B$9</x:f>
        <x:v>0</x:v>
      </x:c>
      <x:c r="N59" s="145" t="n">
        <x:f>SUM('Net NAV'!$B$5:$B$10)-SUMIFS('Net NAV'!$B$5:$B$10,'Net NAV'!$D$5:$D$10,"&lt;="&amp;N24)*$B$9</x:f>
        <x:v>0</x:v>
      </x:c>
      <x:c r="O59" s="145" t="n">
        <x:f>SUM('Net NAV'!$B$5:$B$10)-SUMIFS('Net NAV'!$B$5:$B$10,'Net NAV'!$D$5:$D$10,"&lt;="&amp;O24)*$B$9</x:f>
        <x:v>0</x:v>
      </x:c>
      <x:c r="P59" s="145" t="n">
        <x:f>SUM('Net NAV'!$B$5:$B$10)-SUMIFS('Net NAV'!$B$5:$B$10,'Net NAV'!$D$5:$D$10,"&lt;="&amp;P24)*$B$9</x:f>
        <x:v>0</x:v>
      </x:c>
      <x:c r="Q59" s="145" t="n">
        <x:f>SUM('Net NAV'!$B$5:$B$10)-SUMIFS('Net NAV'!$B$5:$B$10,'Net NAV'!$D$5:$D$10,"&lt;="&amp;Q24)*$B$9</x:f>
        <x:v>0</x:v>
      </x:c>
      <x:c r="R59" s="145" t="n">
        <x:f>SUM('Net NAV'!$B$5:$B$10)-SUMIFS('Net NAV'!$B$5:$B$10,'Net NAV'!$D$5:$D$10,"&lt;="&amp;R24)*$B$9</x:f>
        <x:v>0</x:v>
      </x:c>
      <x:c r="S59" s="145" t="n">
        <x:f>SUM('Net NAV'!$B$5:$B$10)-SUMIFS('Net NAV'!$B$5:$B$10,'Net NAV'!$D$5:$D$10,"&lt;="&amp;S24)*$B$9</x:f>
        <x:v>0</x:v>
      </x:c>
      <x:c r="T59" s="145" t="n">
        <x:f>SUM('Net NAV'!$B$5:$B$10)-SUMIFS('Net NAV'!$B$5:$B$10,'Net NAV'!$D$5:$D$10,"&lt;="&amp;T24)*$B$9</x:f>
        <x:v>0</x:v>
      </x:c>
      <x:c r="U59" s="145" t="n">
        <x:f>SUM('Net NAV'!$B$5:$B$10)-SUMIFS('Net NAV'!$B$5:$B$10,'Net NAV'!$D$5:$D$10,"&lt;="&amp;U24)*$B$9</x:f>
        <x:v>0</x:v>
      </x:c>
      <x:c r="V59" s="128"/>
    </x:row>
    <x:row r="60">
      <x:c r="A60" s="128"/>
      <x:c r="B60" s="128"/>
      <x:c r="C60" s="128"/>
      <x:c r="D60" s="128"/>
      <x:c r="E60" s="128"/>
      <x:c r="F60" s="128"/>
      <x:c r="G60" s="128"/>
      <x:c r="H60" s="128"/>
      <x:c r="I60" s="128"/>
      <x:c r="J60" s="128"/>
      <x:c r="K60" s="128"/>
      <x:c r="L60" s="128"/>
      <x:c r="M60" s="128"/>
      <x:c r="N60" s="128"/>
      <x:c r="O60" s="128"/>
      <x:c r="P60" s="128"/>
      <x:c r="Q60" s="128"/>
      <x:c r="R60" s="128"/>
      <x:c r="S60" s="128"/>
      <x:c r="T60" s="128"/>
      <x:c r="U60" s="128"/>
      <x:c r="V60" s="128"/>
    </x:row>
    <x:row r="61">
      <x:c r="A61" s="128" t="str">
        <x:v>Accrual approximation, actual dates for puts. All puts paid in cash by default, even if in-money. Moneyness is a risk indicator, not a holder election forecast.</x:v>
      </x:c>
      <x:c r="B61" s="128"/>
      <x:c r="C61" s="128"/>
      <x:c r="D61" s="128"/>
      <x:c r="E61" s="128"/>
      <x:c r="F61" s="128"/>
      <x:c r="G61" s="128"/>
      <x:c r="H61" s="128"/>
      <x:c r="I61" s="128"/>
      <x:c r="J61" s="128"/>
      <x:c r="K61" s="128"/>
      <x:c r="L61" s="128"/>
      <x:c r="M61" s="128"/>
      <x:c r="N61" s="128"/>
      <x:c r="O61" s="128"/>
      <x:c r="P61" s="128"/>
      <x:c r="Q61" s="128"/>
      <x:c r="R61" s="128"/>
      <x:c r="S61" s="128"/>
      <x:c r="T61" s="128"/>
      <x:c r="U61" s="128"/>
      <x:c r="V61" s="128"/>
    </x:row>
    <x:row r="62">
      <x:c r="A62" s="128" t="str">
        <x:v>No new preferreds, refinancing, BTC purchases or further BTC sales. Optional initial BTC top-up is removed from asset value.</x:v>
      </x:c>
      <x:c r="B62" s="128"/>
      <x:c r="C62" s="128"/>
      <x:c r="D62" s="128"/>
      <x:c r="E62" s="128"/>
      <x:c r="F62" s="128"/>
      <x:c r="G62" s="128"/>
      <x:c r="H62" s="128"/>
      <x:c r="I62" s="128"/>
      <x:c r="J62" s="128"/>
      <x:c r="K62" s="128"/>
      <x:c r="L62" s="128"/>
      <x:c r="M62" s="128"/>
      <x:c r="N62" s="128"/>
      <x:c r="O62" s="128"/>
      <x:c r="P62" s="128"/>
      <x:c r="Q62" s="128"/>
      <x:c r="R62" s="128"/>
      <x:c r="S62" s="128"/>
      <x:c r="T62" s="128"/>
      <x:c r="U62" s="128"/>
      <x:c r="V62" s="128"/>
    </x:row>
    <x:row r="63">
      <x:c r="A63" s="128" t="str">
        <x:v>Unfunded amounts are financing needs, not payments. After first shortfall, this is a required-funding schedule, not a continuing solvency forecast.</x:v>
      </x:c>
      <x:c r="B63" s="128"/>
      <x:c r="C63" s="128"/>
      <x:c r="D63" s="128"/>
      <x:c r="E63" s="128"/>
      <x:c r="F63" s="128"/>
      <x:c r="G63" s="128"/>
      <x:c r="H63" s="128"/>
      <x:c r="I63" s="128"/>
      <x:c r="J63" s="128"/>
      <x:c r="K63" s="128"/>
      <x:c r="L63" s="128"/>
      <x:c r="M63" s="128"/>
      <x:c r="N63" s="128"/>
      <x:c r="O63" s="128"/>
      <x:c r="P63" s="128"/>
      <x:c r="Q63" s="128"/>
      <x:c r="R63" s="128"/>
      <x:c r="S63" s="128"/>
      <x:c r="T63" s="128"/>
      <x:c r="U63" s="128"/>
      <x:c r="V63" s="128"/>
    </x:row>
    <x:row r="64">
      <x:c r="A64" s="128" t="str">
        <x:v>Rate bands are discretionary and superseded by the current hold policy. This optional rule omits SOFR and legal reduction-cap mechanics.</x:v>
      </x:c>
      <x:c r="B64" s="128"/>
      <x:c r="C64" s="128"/>
      <x:c r="D64" s="128"/>
      <x:c r="E64" s="128"/>
      <x:c r="F64" s="128"/>
      <x:c r="G64" s="128"/>
      <x:c r="H64" s="128"/>
      <x:c r="I64" s="128"/>
      <x:c r="J64" s="128"/>
      <x:c r="K64" s="128"/>
      <x:c r="L64" s="128"/>
      <x:c r="M64" s="128"/>
      <x:c r="N64" s="128"/>
      <x:c r="O64" s="128"/>
      <x:c r="P64" s="128"/>
      <x:c r="Q64" s="128"/>
      <x:c r="R64" s="128"/>
      <x:c r="S64" s="128"/>
      <x:c r="T64" s="128"/>
      <x:c r="U64" s="128"/>
      <x:c r="V64" s="128"/>
    </x:row>
    <x:row r="65">
      <x:c r="A65" s="128" t="str">
        <x:v>20 quarters from Oct 16 2026 to Sep 30 2031. First period is a stub. Coupon cessation is next-quarter; within-quarter interest conservatively accrues a full period.</x:v>
      </x:c>
      <x:c r="B65" s="128"/>
      <x:c r="C65" s="128"/>
      <x:c r="D65" s="128"/>
      <x:c r="E65" s="128"/>
      <x:c r="F65" s="128"/>
      <x:c r="G65" s="128"/>
      <x:c r="H65" s="128"/>
      <x:c r="I65" s="128"/>
      <x:c r="J65" s="128"/>
      <x:c r="K65" s="128"/>
      <x:c r="L65" s="128"/>
      <x:c r="M65" s="128"/>
      <x:c r="N65" s="128"/>
      <x:c r="O65" s="128"/>
      <x:c r="P65" s="128"/>
      <x:c r="Q65" s="128"/>
      <x:c r="R65" s="128"/>
      <x:c r="S65" s="128"/>
      <x:c r="T65" s="128"/>
      <x:c r="U65" s="128"/>
      <x:c r="V65" s="128"/>
    </x:row>
    <x:row r="66">
      <x:c r="A66" s="128"/>
      <x:c r="B66" s="128"/>
      <x:c r="C66" s="128"/>
      <x:c r="D66" s="128"/>
      <x:c r="E66" s="128"/>
      <x:c r="F66" s="128"/>
      <x:c r="G66" s="128"/>
      <x:c r="H66" s="128"/>
      <x:c r="I66" s="128"/>
      <x:c r="J66" s="128"/>
      <x:c r="K66" s="128"/>
      <x:c r="L66" s="128"/>
      <x:c r="M66" s="128"/>
      <x:c r="N66" s="128"/>
      <x:c r="O66" s="128"/>
      <x:c r="P66" s="128"/>
      <x:c r="Q66" s="128"/>
      <x:c r="R66" s="128"/>
      <x:c r="S66" s="128"/>
      <x:c r="T66" s="128"/>
      <x:c r="U66" s="128"/>
      <x:c r="V66" s="128"/>
    </x:row>
    <x:row r="67">
      <x:c r="A67" s="128"/>
      <x:c r="B67" s="128"/>
      <x:c r="C67" s="128"/>
      <x:c r="D67" s="128"/>
      <x:c r="E67" s="128"/>
      <x:c r="F67" s="128"/>
      <x:c r="G67" s="128"/>
      <x:c r="H67" s="128"/>
      <x:c r="I67" s="128"/>
      <x:c r="J67" s="128"/>
      <x:c r="K67" s="128"/>
      <x:c r="L67" s="128"/>
      <x:c r="M67" s="128"/>
      <x:c r="N67" s="128"/>
      <x:c r="O67" s="128"/>
      <x:c r="P67" s="128"/>
      <x:c r="Q67" s="128"/>
      <x:c r="R67" s="128"/>
      <x:c r="S67" s="128"/>
      <x:c r="T67" s="128"/>
      <x:c r="U67" s="128"/>
      <x:c r="V67" s="128"/>
    </x:row>
    <x:row r="68" ht="36" customHeight="1">
      <x:c r="A68" s="132" t="str">
        <x:v>Quarter</x:v>
      </x:c>
      <x:c r="B68" s="132" t="str">
        <x:v>Ending cash</x:v>
      </x:c>
      <x:c r="C68" s="128"/>
      <x:c r="D68" s="128"/>
      <x:c r="E68" s="128"/>
      <x:c r="F68" s="128"/>
      <x:c r="G68" s="128"/>
      <x:c r="H68" s="128"/>
      <x:c r="I68" s="128"/>
      <x:c r="J68" s="128"/>
      <x:c r="K68" s="128"/>
      <x:c r="L68" s="128"/>
      <x:c r="M68" s="128"/>
      <x:c r="N68" s="128"/>
      <x:c r="O68" s="128"/>
      <x:c r="P68" s="128"/>
      <x:c r="Q68" s="128"/>
      <x:c r="R68" s="128"/>
      <x:c r="S68" s="128"/>
      <x:c r="T68" s="128"/>
      <x:c r="U68" s="128"/>
      <x:c r="V68" s="128"/>
    </x:row>
    <x:row r="69">
      <x:c r="A69" s="128" t="str">
        <x:f>TEXT(B24,"mmm-yy")</x:f>
        <x:v>Dec-26</x:v>
      </x:c>
      <x:c r="B69" s="128" t="n">
        <x:f>B49</x:f>
        <x:v>4551.199455427105</x:v>
      </x:c>
      <x:c r="C69" s="128"/>
      <x:c r="D69" s="128"/>
      <x:c r="E69" s="128"/>
      <x:c r="F69" s="128"/>
      <x:c r="G69" s="128"/>
      <x:c r="H69" s="128"/>
      <x:c r="I69" s="128"/>
      <x:c r="J69" s="128"/>
      <x:c r="K69" s="128"/>
      <x:c r="L69" s="128"/>
      <x:c r="M69" s="128"/>
      <x:c r="N69" s="128"/>
      <x:c r="O69" s="128"/>
      <x:c r="P69" s="128"/>
      <x:c r="Q69" s="128"/>
      <x:c r="R69" s="128"/>
      <x:c r="S69" s="128"/>
      <x:c r="T69" s="128"/>
      <x:c r="U69" s="128"/>
      <x:c r="V69" s="128"/>
    </x:row>
    <x:row r="70">
      <x:c r="A70" s="128" t="str">
        <x:f>TEXT(C24,"mmm-yy")</x:f>
        <x:v>Mar-27</x:v>
      </x:c>
      <x:c r="B70" s="128" t="n">
        <x:f>C49</x:f>
        <x:v>4166.887130601644</x:v>
      </x:c>
      <x:c r="C70" s="128"/>
      <x:c r="D70" s="128"/>
      <x:c r="E70" s="128"/>
      <x:c r="F70" s="128"/>
      <x:c r="G70" s="128"/>
      <x:c r="H70" s="128"/>
      <x:c r="I70" s="128"/>
      <x:c r="J70" s="128"/>
      <x:c r="K70" s="128"/>
      <x:c r="L70" s="128"/>
      <x:c r="M70" s="128"/>
      <x:c r="N70" s="128"/>
      <x:c r="O70" s="128"/>
      <x:c r="P70" s="128"/>
      <x:c r="Q70" s="128"/>
      <x:c r="R70" s="128"/>
      <x:c r="S70" s="128"/>
      <x:c r="T70" s="128"/>
      <x:c r="U70" s="128"/>
      <x:c r="V70" s="128"/>
    </x:row>
    <x:row r="71">
      <x:c r="A71" s="128" t="str">
        <x:f>TEXT(D24,"mmm-yy")</x:f>
        <x:v>Jun-27</x:v>
      </x:c>
      <x:c r="B71" s="128" t="n">
        <x:f>D49</x:f>
        <x:v>3778.3046688336763</x:v>
      </x:c>
      <x:c r="C71" s="128"/>
      <x:c r="D71" s="128"/>
      <x:c r="E71" s="128"/>
      <x:c r="F71" s="128"/>
      <x:c r="G71" s="128"/>
      <x:c r="H71" s="128"/>
      <x:c r="I71" s="128"/>
      <x:c r="J71" s="128"/>
      <x:c r="K71" s="128"/>
      <x:c r="L71" s="128"/>
      <x:c r="M71" s="128"/>
      <x:c r="N71" s="128"/>
      <x:c r="O71" s="128"/>
      <x:c r="P71" s="128"/>
      <x:c r="Q71" s="128"/>
      <x:c r="R71" s="128"/>
      <x:c r="S71" s="128"/>
      <x:c r="T71" s="128"/>
      <x:c r="U71" s="128"/>
      <x:c r="V71" s="128"/>
    </x:row>
    <x:row r="72">
      <x:c r="A72" s="128" t="str">
        <x:f>TEXT(E24,"mmm-yy")</x:f>
        <x:v>Sep-27</x:v>
      </x:c>
      <x:c r="B72" s="128" t="n">
        <x:f>E49</x:f>
        <x:v>2375.452070123204</x:v>
      </x:c>
      <x:c r="C72" s="128"/>
      <x:c r="D72" s="128"/>
      <x:c r="E72" s="128"/>
      <x:c r="F72" s="128"/>
      <x:c r="G72" s="128"/>
      <x:c r="H72" s="128"/>
      <x:c r="I72" s="128"/>
      <x:c r="J72" s="128"/>
      <x:c r="K72" s="128"/>
      <x:c r="L72" s="128"/>
      <x:c r="M72" s="128"/>
      <x:c r="N72" s="128"/>
      <x:c r="O72" s="128"/>
      <x:c r="P72" s="128"/>
      <x:c r="Q72" s="128"/>
      <x:c r="R72" s="128"/>
      <x:c r="S72" s="128"/>
      <x:c r="T72" s="128"/>
      <x:c r="U72" s="128"/>
      <x:c r="V72" s="128"/>
    </x:row>
    <x:row r="73">
      <x:c r="A73" s="128" t="str">
        <x:f>TEXT(F24,"mmm-yy")</x:f>
        <x:v>Dec-27</x:v>
      </x:c>
      <x:c r="B73" s="128" t="n">
        <x:f>F49</x:f>
        <x:v>1984.1894782573588</x:v>
      </x:c>
      <x:c r="C73" s="128"/>
      <x:c r="D73" s="128"/>
      <x:c r="E73" s="128"/>
      <x:c r="F73" s="128"/>
      <x:c r="G73" s="128"/>
      <x:c r="H73" s="128"/>
      <x:c r="I73" s="128"/>
      <x:c r="J73" s="128"/>
      <x:c r="K73" s="128"/>
      <x:c r="L73" s="128"/>
      <x:c r="M73" s="128"/>
      <x:c r="N73" s="128"/>
      <x:c r="O73" s="128"/>
      <x:c r="P73" s="128"/>
      <x:c r="Q73" s="128"/>
      <x:c r="R73" s="128"/>
      <x:c r="S73" s="128"/>
      <x:c r="T73" s="128"/>
      <x:c r="U73" s="128"/>
      <x:c r="V73" s="128"/>
    </x:row>
    <x:row r="74">
      <x:c r="A74" s="128" t="str">
        <x:f>TEXT(G24,"mmm-yy")</x:f>
        <x:v>Mar-28</x:v>
      </x:c>
      <x:c r="B74" s="128" t="n">
        <x:f>G49</x:f>
        <x:v>1553.3550182499994</x:v>
      </x:c>
      <x:c r="C74" s="128"/>
      <x:c r="D74" s="128"/>
      <x:c r="E74" s="128"/>
      <x:c r="F74" s="128"/>
      <x:c r="G74" s="128"/>
      <x:c r="H74" s="128"/>
      <x:c r="I74" s="128"/>
      <x:c r="J74" s="128"/>
      <x:c r="K74" s="128"/>
      <x:c r="L74" s="128"/>
      <x:c r="M74" s="128"/>
      <x:c r="N74" s="128"/>
      <x:c r="O74" s="128"/>
      <x:c r="P74" s="128"/>
      <x:c r="Q74" s="128"/>
      <x:c r="R74" s="128"/>
      <x:c r="S74" s="128"/>
      <x:c r="T74" s="128"/>
      <x:c r="U74" s="128"/>
      <x:c r="V74" s="128"/>
    </x:row>
    <x:row r="75">
      <x:c r="A75" s="128" t="str">
        <x:f>TEXT(H24,"mmm-yy")</x:f>
        <x:v>Jun-28</x:v>
      </x:c>
      <x:c r="B75" s="128" t="n">
        <x:f>H49</x:f>
        <x:v>1553.3550182499994</x:v>
      </x:c>
      <x:c r="C75" s="128"/>
      <x:c r="D75" s="128"/>
      <x:c r="E75" s="128"/>
      <x:c r="F75" s="128"/>
      <x:c r="G75" s="128"/>
      <x:c r="H75" s="128"/>
      <x:c r="I75" s="128"/>
      <x:c r="J75" s="128"/>
      <x:c r="K75" s="128"/>
      <x:c r="L75" s="128"/>
      <x:c r="M75" s="128"/>
      <x:c r="N75" s="128"/>
      <x:c r="O75" s="128"/>
      <x:c r="P75" s="128"/>
      <x:c r="Q75" s="128"/>
      <x:c r="R75" s="128"/>
      <x:c r="S75" s="128"/>
      <x:c r="T75" s="128"/>
      <x:c r="U75" s="128"/>
      <x:c r="V75" s="128"/>
    </x:row>
    <x:row r="76">
      <x:c r="A76" t="str">
        <x:f>TEXT(I24,"mmm-yy")</x:f>
        <x:v>Sep-28</x:v>
      </x:c>
      <x:c r="B76" t="n">
        <x:f>I49</x:f>
        <x:v>1553.3550182499998</x:v>
      </x:c>
    </x:row>
    <x:row r="77">
      <x:c r="A77" t="str">
        <x:f>TEXT(J24,"mmm-yy")</x:f>
        <x:v>Dec-28</x:v>
      </x:c>
      <x:c r="B77" t="n">
        <x:f>J49</x:f>
        <x:v>1543.0730019999999</x:v>
      </x:c>
    </x:row>
    <x:row r="78">
      <x:c r="A78" t="str">
        <x:f>TEXT(K24,"mmm-yy")</x:f>
        <x:v>Mar-29</x:v>
      </x:c>
      <x:c r="B78" t="n">
        <x:f>K49</x:f>
        <x:v>1543.0730019999999</x:v>
      </x:c>
    </x:row>
    <x:row r="79">
      <x:c r="A79" t="str">
        <x:f>TEXT(L24,"mmm-yy")</x:f>
        <x:v>Jun-29</x:v>
      </x:c>
      <x:c r="B79" t="n">
        <x:f>L49</x:f>
        <x:v>1543.0730019999996</x:v>
      </x:c>
    </x:row>
    <x:row r="80">
      <x:c r="A80" t="str">
        <x:f>TEXT(M24,"mmm-yy")</x:f>
        <x:v>Sep-29</x:v>
      </x:c>
      <x:c r="B80" t="n">
        <x:f>M49</x:f>
        <x:v>1525.0730019999999</x:v>
      </x:c>
    </x:row>
    <x:row r="81">
      <x:c r="A81" t="str">
        <x:f>TEXT(N24,"mmm-yy")</x:f>
        <x:v>Dec-29</x:v>
      </x:c>
      <x:c r="B81" t="n">
        <x:f>N49</x:f>
        <x:v>1525.0730019999999</x:v>
      </x:c>
    </x:row>
    <x:row r="82">
      <x:c r="A82" t="str">
        <x:f>TEXT(O24,"mmm-yy")</x:f>
        <x:v>Mar-30</x:v>
      </x:c>
      <x:c r="B82" t="n">
        <x:f>O49</x:f>
        <x:v>1525.0730019999994</x:v>
      </x:c>
    </x:row>
    <x:row r="83">
      <x:c r="A83" t="str">
        <x:f>TEXT(P24,"mmm-yy")</x:f>
        <x:v>Jun-30</x:v>
      </x:c>
      <x:c r="B83" t="n">
        <x:f>P49</x:f>
        <x:v>1525.0730019999994</x:v>
      </x:c>
    </x:row>
    <x:row r="84">
      <x:c r="A84" t="str">
        <x:f>TEXT(Q24,"mmm-yy")</x:f>
        <x:v>Sep-30</x:v>
      </x:c>
      <x:c r="B84" t="n">
        <x:f>Q49</x:f>
        <x:v>1525.0730019999999</x:v>
      </x:c>
    </x:row>
    <x:row r="85">
      <x:c r="A85" t="str">
        <x:f>TEXT(R24,"mmm-yy")</x:f>
        <x:v>Dec-30</x:v>
      </x:c>
      <x:c r="B85" t="n">
        <x:f>R49</x:f>
        <x:v>1525.0730019999999</x:v>
      </x:c>
    </x:row>
    <x:row r="86">
      <x:c r="A86" t="str">
        <x:f>TEXT(S24,"mmm-yy")</x:f>
        <x:v>Mar-31</x:v>
      </x:c>
      <x:c r="B86" t="n">
        <x:f>S49</x:f>
        <x:v>1525.0730019999994</x:v>
      </x:c>
    </x:row>
    <x:row r="87">
      <x:c r="A87" t="str">
        <x:f>TEXT(T24,"mmm-yy")</x:f>
        <x:v>Jun-31</x:v>
      </x:c>
      <x:c r="B87" t="n">
        <x:f>T49</x:f>
        <x:v>1525.0730019999994</x:v>
      </x:c>
    </x:row>
    <x:row r="88">
      <x:c r="A88" t="str">
        <x:f>TEXT(U24,"mmm-yy")</x:f>
        <x:v>Sep-31</x:v>
      </x:c>
      <x:c r="B88" t="n">
        <x:f>U49</x:f>
        <x:v>1525.0730019999999</x:v>
      </x:c>
    </x:row>
  </x:sheetData>
  <x:conditionalFormatting sqref="B49:U49">
    <x:cfRule type="cellIs" dxfId="7" priority="1" operator="lessThan">
      <x:formula>0.01</x:formula>
    </x:cfRule>
  </x:conditionalFormatting>
  <x:conditionalFormatting sqref="B50:U51">
    <x:cfRule type="cellIs" dxfId="8" priority="2" operator="greaterThan">
      <x:formula>0.01</x:formula>
    </x:cfRule>
  </x:conditionalFormatting>
  <x:pageMargins left="0.7" right="0.7" top="0.75" bottom="0.75" header="0.3" footer="0.3"/>
  <x:drawing xmlns:r="http://schemas.openxmlformats.org/officeDocument/2006/relationships" r:id="R38c9ce135dd04d2f"/>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s>
  <x:sheetData>
    <x:row r="1">
      <x:c r="A1" s="129" t="str">
        <x:v>Native Excel What-If Data Tables</x:v>
      </x:c>
      <x:c r="B1" s="128"/>
      <x:c r="C1" s="128"/>
      <x:c r="D1" s="128"/>
      <x:c r="E1" s="128"/>
      <x:c r="F1" s="128"/>
      <x:c r="G1" s="128"/>
      <x:c r="H1" s="128"/>
      <x:c r="I1" s="128"/>
      <x:c r="J1" s="128"/>
      <x:c r="K1" s="128"/>
      <x:c r="L1" s="128"/>
      <x:c r="M1" s="128"/>
      <x:c r="N1" s="128"/>
      <x:c r="O1" s="128"/>
      <x:c r="P1" s="128"/>
      <x:c r="Q1" s="128"/>
      <x:c r="R1" s="128"/>
      <x:c r="S1" s="128"/>
      <x:c r="T1" s="128"/>
      <x:c r="U1" s="128"/>
      <x:c r="V1" s="128"/>
    </x:row>
    <x:row r="2" ht="32" customHeight="1">
      <x:c r="A2" s="128" t="str">
        <x:v>Both tables replace actual input cells on this sheet. Snapshot runway excludes principal; see Quarterly path for puts.</x:v>
      </x:c>
      <x:c r="B2" s="128"/>
      <x:c r="C2" s="128"/>
      <x:c r="D2" s="128"/>
      <x:c r="E2" s="128"/>
      <x:c r="F2" s="128"/>
      <x:c r="G2" s="128"/>
      <x:c r="H2" s="128"/>
      <x:c r="I2" s="128"/>
      <x:c r="J2" s="128"/>
      <x:c r="K2" s="128"/>
      <x:c r="L2" s="128"/>
      <x:c r="M2" s="128"/>
      <x:c r="N2" s="128"/>
      <x:c r="O2" s="128"/>
      <x:c r="P2" s="128"/>
      <x:c r="Q2" s="128"/>
      <x:c r="R2" s="128"/>
      <x:c r="S2" s="128"/>
      <x:c r="T2" s="128"/>
      <x:c r="U2" s="128"/>
      <x:c r="V2" s="128"/>
    </x:row>
    <x:row r="3">
      <x:c r="A3" s="128"/>
      <x:c r="B3" s="128"/>
      <x:c r="C3" s="128"/>
      <x:c r="D3" s="128"/>
      <x:c r="E3" s="128"/>
      <x:c r="F3" s="128"/>
      <x:c r="G3" s="128"/>
      <x:c r="H3" s="128"/>
      <x:c r="I3" s="128"/>
      <x:c r="J3" s="128"/>
      <x:c r="K3" s="128"/>
      <x:c r="L3" s="128"/>
      <x:c r="M3" s="128"/>
      <x:c r="N3" s="128"/>
      <x:c r="O3" s="128"/>
      <x:c r="P3" s="128"/>
      <x:c r="Q3" s="128"/>
      <x:c r="R3" s="128"/>
      <x:c r="S3" s="128"/>
      <x:c r="T3" s="128"/>
      <x:c r="U3" s="128"/>
      <x:c r="V3" s="128"/>
    </x:row>
    <x:row r="4" ht="36" customHeight="1">
      <x:c r="A4" s="132" t="str">
        <x:v>Driver</x:v>
      </x:c>
      <x:c r="B4" s="132" t="str">
        <x:v>Active input</x:v>
      </x:c>
      <x:c r="C4" s="132" t="str">
        <x:v>Source / control</x:v>
      </x:c>
      <x:c r="D4" s="128"/>
      <x:c r="E4" s="128"/>
      <x:c r="F4" s="128"/>
      <x:c r="G4" s="128"/>
      <x:c r="H4" s="128"/>
      <x:c r="I4" s="128"/>
      <x:c r="J4" s="128"/>
      <x:c r="K4" s="128"/>
      <x:c r="L4" s="128"/>
      <x:c r="M4" s="128"/>
      <x:c r="N4" s="128"/>
      <x:c r="O4" s="128"/>
      <x:c r="P4" s="128"/>
      <x:c r="Q4" s="128"/>
      <x:c r="R4" s="128"/>
      <x:c r="S4" s="128"/>
      <x:c r="T4" s="128"/>
      <x:c r="U4" s="128"/>
      <x:c r="V4" s="128"/>
    </x:row>
    <x:row r="5">
      <x:c r="A5" s="128" t="str">
        <x:v>BTC price</x:v>
      </x:c>
      <x:c r="B5" s="128" t="n">
        <x:f>INDEX(Scenarios!B6:F6,MATCH(Scenario_Select,Scenarios!$B$4:$F$4,0))</x:f>
        <x:v>82131</x:v>
      </x:c>
      <x:c r="C5" s="128"/>
      <x:c r="D5" s="128" t="n">
        <x:f>B10</x:f>
        <x:v>15.187542497449734</x:v>
      </x:c>
      <x:c r="E5" s="140" t="n">
        <x:v>0.6</x:v>
      </x:c>
      <x:c r="F5" s="140" t="n">
        <x:v>0.8</x:v>
      </x:c>
      <x:c r="G5" s="140" t="n">
        <x:v>1</x:v>
      </x:c>
      <x:c r="H5" s="140" t="n">
        <x:v>1.25</x:v>
      </x:c>
      <x:c r="I5" s="140" t="n">
        <x:v>1.5</x:v>
      </x:c>
      <x:c r="J5" s="140" t="n">
        <x:v>2</x:v>
      </x:c>
      <x:c r="K5" s="140" t="n">
        <x:v>2.5</x:v>
      </x:c>
      <x:c r="L5" s="128"/>
      <x:c r="M5" s="128"/>
      <x:c r="N5" s="128"/>
      <x:c r="O5" s="128"/>
      <x:c r="P5" s="128"/>
      <x:c r="Q5" s="128"/>
      <x:c r="R5" s="128"/>
      <x:c r="S5" s="128"/>
      <x:c r="T5" s="128"/>
      <x:c r="U5" s="128"/>
      <x:c r="V5" s="128"/>
    </x:row>
    <x:row r="6">
      <x:c r="A6" s="128" t="str">
        <x:v>Net mNAV</x:v>
      </x:c>
      <x:c r="B6" s="128" t="n">
        <x:f>INDEX(Scenarios!B7:F7,MATCH(Scenario_Select,Scenarios!$B$4:$F$4,0))</x:f>
        <x:v>1.1745671782680673</x:v>
      </x:c>
      <x:c r="C6" s="128"/>
      <x:c r="D6" s="128" t="n">
        <x:v>30000</x:v>
      </x:c>
      <x:c r="E6" s="139" t="n">
        <x:f t="dataTable" ref="E6:K14" dt2D="1" r1="B6" r2="B5"/>
        <x:v>3.1288609815918</x:v>
      </x:c>
      <x:c r="F6" s="139" t="n">
        <x:v>3.1288609815918</x:v>
      </x:c>
      <x:c r="G6" s="139" t="n">
        <x:v>15.1875424974497</x:v>
      </x:c>
      <x:c r="H6" s="139" t="n">
        <x:v>15.1875424974497</x:v>
      </x:c>
      <x:c r="I6" s="139" t="n">
        <x:v>15.1875424974497</x:v>
      </x:c>
      <x:c r="J6" s="139" t="n">
        <x:v>15.1875424974497</x:v>
      </x:c>
      <x:c r="K6" s="139" t="n">
        <x:v>15.1875424974497</x:v>
      </x:c>
      <x:c r="L6" s="128"/>
      <x:c r="M6" s="128"/>
      <x:c r="N6" s="128"/>
      <x:c r="O6" s="128"/>
      <x:c r="P6" s="128"/>
      <x:c r="Q6" s="128"/>
      <x:c r="R6" s="128"/>
      <x:c r="S6" s="128"/>
      <x:c r="T6" s="128"/>
      <x:c r="U6" s="128"/>
      <x:c r="V6" s="128"/>
    </x:row>
    <x:row r="7">
      <x:c r="A7" s="128" t="str">
        <x:v>STRC rate</x:v>
      </x:c>
      <x:c r="B7" s="128" t="n">
        <x:f>INDEX(Scenarios!B8:F8,MATCH(Scenario_Select,Scenarios!$B$4:$F$4,0))</x:f>
        <x:v>0.12</x:v>
      </x:c>
      <x:c r="C7" s="128"/>
      <x:c r="D7" s="128" t="n">
        <x:v>40000</x:v>
      </x:c>
      <x:c r="E7" s="139" t="n">
        <x:v>3.1288609815918</x:v>
      </x:c>
      <x:c r="F7" s="139" t="n">
        <x:v>3.1288609815918</x:v>
      </x:c>
      <x:c r="G7" s="139" t="n">
        <x:v>15.1875424974497</x:v>
      </x:c>
      <x:c r="H7" s="139" t="n">
        <x:v>15.1875424974497</x:v>
      </x:c>
      <x:c r="I7" s="139" t="n">
        <x:v>15.1875424974497</x:v>
      </x:c>
      <x:c r="J7" s="139" t="n">
        <x:v>15.1875424974497</x:v>
      </x:c>
      <x:c r="K7" s="139" t="n">
        <x:v>15.1875424974497</x:v>
      </x:c>
      <x:c r="L7" s="128"/>
      <x:c r="M7" s="128"/>
      <x:c r="N7" s="128"/>
      <x:c r="O7" s="128"/>
      <x:c r="P7" s="128"/>
      <x:c r="Q7" s="128"/>
      <x:c r="R7" s="128"/>
      <x:c r="S7" s="128"/>
      <x:c r="T7" s="128"/>
      <x:c r="U7" s="128"/>
      <x:c r="V7" s="128"/>
    </x:row>
    <x:row r="8">
      <x:c r="A8" s="128" t="str">
        <x:v>EUR/USD</x:v>
      </x:c>
      <x:c r="B8" s="128" t="n">
        <x:f>INDEX(Scenarios!B10:F10,MATCH(Scenario_Select,Scenarios!$B$4:$F$4,0))</x:f>
        <x:v>1.1253</x:v>
      </x:c>
      <x:c r="C8" s="128"/>
      <x:c r="D8" s="128" t="n">
        <x:v>50000</x:v>
      </x:c>
      <x:c r="E8" s="139" t="n">
        <x:v>3.1288609815918</x:v>
      </x:c>
      <x:c r="F8" s="139" t="n">
        <x:v>3.1288609815918</x:v>
      </x:c>
      <x:c r="G8" s="139" t="n">
        <x:v>15.1875424974497</x:v>
      </x:c>
      <x:c r="H8" s="139" t="n">
        <x:v>15.1875424974497</x:v>
      </x:c>
      <x:c r="I8" s="139" t="n">
        <x:v>15.1875424974497</x:v>
      </x:c>
      <x:c r="J8" s="139" t="n">
        <x:v>15.1875424974497</x:v>
      </x:c>
      <x:c r="K8" s="139" t="n">
        <x:v>15.1875424974497</x:v>
      </x:c>
      <x:c r="L8" s="128"/>
      <x:c r="M8" s="128"/>
      <x:c r="N8" s="128"/>
      <x:c r="O8" s="128"/>
      <x:c r="P8" s="128"/>
      <x:c r="Q8" s="128"/>
      <x:c r="R8" s="128"/>
      <x:c r="S8" s="128"/>
      <x:c r="T8" s="128"/>
      <x:c r="U8" s="128"/>
      <x:c r="V8" s="128"/>
    </x:row>
    <x:row r="9">
      <x:c r="A9" s="128"/>
      <x:c r="B9" s="128"/>
      <x:c r="C9" s="128"/>
      <x:c r="D9" s="128" t="n">
        <x:v>60000</x:v>
      </x:c>
      <x:c r="E9" s="139" t="n">
        <x:v>3.1288609815918</x:v>
      </x:c>
      <x:c r="F9" s="139" t="n">
        <x:v>3.1288609815918</x:v>
      </x:c>
      <x:c r="G9" s="139" t="n">
        <x:v>15.1875424974497</x:v>
      </x:c>
      <x:c r="H9" s="139" t="n">
        <x:v>15.1875424974497</x:v>
      </x:c>
      <x:c r="I9" s="139" t="n">
        <x:v>15.1875424974497</x:v>
      </x:c>
      <x:c r="J9" s="139" t="n">
        <x:v>15.1875424974497</x:v>
      </x:c>
      <x:c r="K9" s="139" t="n">
        <x:v>15.1875424974497</x:v>
      </x:c>
      <x:c r="L9" s="128"/>
      <x:c r="M9" s="128"/>
      <x:c r="N9" s="128"/>
      <x:c r="O9" s="128"/>
      <x:c r="P9" s="128"/>
      <x:c r="Q9" s="128"/>
      <x:c r="R9" s="128"/>
      <x:c r="S9" s="128"/>
      <x:c r="T9" s="128"/>
      <x:c r="U9" s="128"/>
      <x:c r="V9" s="128"/>
    </x:row>
    <x:row r="10">
      <x:c r="A10" s="128" t="str">
        <x:v>Years covered by Reserve + common</x:v>
      </x:c>
      <x:c r="B10" s="128" t="n">
        <x:f>Cov_Years_Total</x:f>
        <x:v>15.187542497449734</x:v>
      </x:c>
      <x:c r="C10" s="128"/>
      <x:c r="D10" s="128" t="n">
        <x:v>75000</x:v>
      </x:c>
      <x:c r="E10" s="139" t="n">
        <x:v>3.1288609815918</x:v>
      </x:c>
      <x:c r="F10" s="139" t="n">
        <x:v>3.1288609815918</x:v>
      </x:c>
      <x:c r="G10" s="139" t="n">
        <x:v>15.1875424974497</x:v>
      </x:c>
      <x:c r="H10" s="139" t="n">
        <x:v>15.1875424974497</x:v>
      </x:c>
      <x:c r="I10" s="139" t="n">
        <x:v>15.1875424974497</x:v>
      </x:c>
      <x:c r="J10" s="139" t="n">
        <x:v>15.1875424974497</x:v>
      </x:c>
      <x:c r="K10" s="139" t="n">
        <x:v>15.1875424974497</x:v>
      </x:c>
      <x:c r="L10" s="128"/>
      <x:c r="M10" s="128"/>
      <x:c r="N10" s="128"/>
      <x:c r="O10" s="128"/>
      <x:c r="P10" s="128"/>
      <x:c r="Q10" s="128"/>
      <x:c r="R10" s="128"/>
      <x:c r="S10" s="128"/>
      <x:c r="T10" s="128"/>
      <x:c r="U10" s="128"/>
      <x:c r="V10" s="128"/>
    </x:row>
    <x:row r="11">
      <x:c r="A11" s="128" t="str">
        <x:v>Reserve months</x:v>
      </x:c>
      <x:c r="B11" s="128" t="n">
        <x:f>Cov_Reserve_Months</x:f>
        <x:v>37.54633177910199</x:v>
      </x:c>
      <x:c r="C11" s="128"/>
      <x:c r="D11" s="128" t="n">
        <x:v>100000</x:v>
      </x:c>
      <x:c r="E11" s="139" t="n">
        <x:v>3.1288609815918</x:v>
      </x:c>
      <x:c r="F11" s="139" t="n">
        <x:v>3.1288609815918</x:v>
      </x:c>
      <x:c r="G11" s="139" t="n">
        <x:v>15.1875424974497</x:v>
      </x:c>
      <x:c r="H11" s="139" t="n">
        <x:v>15.1875424974497</x:v>
      </x:c>
      <x:c r="I11" s="139" t="n">
        <x:v>15.1875424974497</x:v>
      </x:c>
      <x:c r="J11" s="139" t="n">
        <x:v>15.1875424974497</x:v>
      </x:c>
      <x:c r="K11" s="139" t="n">
        <x:v>15.1875424974497</x:v>
      </x:c>
      <x:c r="L11" s="128"/>
      <x:c r="M11" s="128"/>
      <x:c r="N11" s="128"/>
      <x:c r="O11" s="128"/>
      <x:c r="P11" s="128"/>
      <x:c r="Q11" s="128"/>
      <x:c r="R11" s="128"/>
      <x:c r="S11" s="128"/>
      <x:c r="T11" s="128"/>
      <x:c r="U11" s="128"/>
      <x:c r="V11" s="128"/>
    </x:row>
    <x:row r="12">
      <x:c r="A12" s="128"/>
      <x:c r="B12" s="128"/>
      <x:c r="C12" s="128"/>
      <x:c r="D12" s="128" t="n">
        <x:v>125000</x:v>
      </x:c>
      <x:c r="E12" s="139" t="n">
        <x:v>3.1288609815918</x:v>
      </x:c>
      <x:c r="F12" s="139" t="n">
        <x:v>3.1288609815918</x:v>
      </x:c>
      <x:c r="G12" s="139" t="n">
        <x:v>15.1875424974497</x:v>
      </x:c>
      <x:c r="H12" s="139" t="n">
        <x:v>15.1875424974497</x:v>
      </x:c>
      <x:c r="I12" s="139" t="n">
        <x:v>15.1875424974497</x:v>
      </x:c>
      <x:c r="J12" s="139" t="n">
        <x:v>15.1875424974497</x:v>
      </x:c>
      <x:c r="K12" s="139" t="n">
        <x:v>15.1875424974497</x:v>
      </x:c>
      <x:c r="L12" s="128"/>
      <x:c r="M12" s="128"/>
      <x:c r="N12" s="128"/>
      <x:c r="O12" s="128"/>
      <x:c r="P12" s="128"/>
      <x:c r="Q12" s="128"/>
      <x:c r="R12" s="128"/>
      <x:c r="S12" s="128"/>
      <x:c r="T12" s="128"/>
      <x:c r="U12" s="128"/>
      <x:c r="V12" s="128"/>
    </x:row>
    <x:row r="13">
      <x:c r="A13" s="128"/>
      <x:c r="B13" s="128"/>
      <x:c r="C13" s="128"/>
      <x:c r="D13" s="128" t="n">
        <x:v>150000</x:v>
      </x:c>
      <x:c r="E13" s="139" t="n">
        <x:v>3.1288609815918</x:v>
      </x:c>
      <x:c r="F13" s="139" t="n">
        <x:v>3.1288609815918</x:v>
      </x:c>
      <x:c r="G13" s="139" t="n">
        <x:v>15.1875424974497</x:v>
      </x:c>
      <x:c r="H13" s="139" t="n">
        <x:v>15.1875424974497</x:v>
      </x:c>
      <x:c r="I13" s="139" t="n">
        <x:v>15.1875424974497</x:v>
      </x:c>
      <x:c r="J13" s="139" t="n">
        <x:v>15.1875424974497</x:v>
      </x:c>
      <x:c r="K13" s="139" t="n">
        <x:v>15.1875424974497</x:v>
      </x:c>
      <x:c r="L13" s="128"/>
      <x:c r="M13" s="128"/>
      <x:c r="N13" s="128"/>
      <x:c r="O13" s="128"/>
      <x:c r="P13" s="128"/>
      <x:c r="Q13" s="128"/>
      <x:c r="R13" s="128"/>
      <x:c r="S13" s="128"/>
      <x:c r="T13" s="128"/>
      <x:c r="U13" s="128"/>
      <x:c r="V13" s="128"/>
    </x:row>
    <x:row r="14">
      <x:c r="A14" s="128"/>
      <x:c r="B14" s="128"/>
      <x:c r="C14" s="128"/>
      <x:c r="D14" s="128" t="n">
        <x:v>200000</x:v>
      </x:c>
      <x:c r="E14" s="139" t="n">
        <x:v>3.1288609815918</x:v>
      </x:c>
      <x:c r="F14" s="139" t="n">
        <x:v>3.1288609815918</x:v>
      </x:c>
      <x:c r="G14" s="139" t="n">
        <x:v>15.1875424974497</x:v>
      </x:c>
      <x:c r="H14" s="139" t="n">
        <x:v>15.1875424974497</x:v>
      </x:c>
      <x:c r="I14" s="139" t="n">
        <x:v>15.1875424974497</x:v>
      </x:c>
      <x:c r="J14" s="139" t="n">
        <x:v>15.1875424974497</x:v>
      </x:c>
      <x:c r="K14" s="139" t="n">
        <x:v>15.1875424974497</x:v>
      </x:c>
      <x:c r="L14" s="128"/>
      <x:c r="M14" s="128"/>
      <x:c r="N14" s="128"/>
      <x:c r="O14" s="128"/>
      <x:c r="P14" s="128"/>
      <x:c r="Q14" s="128"/>
      <x:c r="R14" s="128"/>
      <x:c r="S14" s="128"/>
      <x:c r="T14" s="128"/>
      <x:c r="U14" s="128"/>
      <x:c r="V14" s="128"/>
    </x:row>
    <x:row r="15">
      <x:c r="A15" s="128"/>
      <x:c r="B15" s="128"/>
      <x:c r="C15" s="128"/>
      <x:c r="D15" s="128"/>
      <x:c r="E15" s="128"/>
      <x:c r="F15" s="128"/>
      <x:c r="G15" s="128"/>
      <x:c r="H15" s="128"/>
      <x:c r="I15" s="128"/>
      <x:c r="J15" s="128"/>
      <x:c r="K15" s="128"/>
      <x:c r="L15" s="128"/>
      <x:c r="M15" s="128"/>
      <x:c r="N15" s="128"/>
      <x:c r="O15" s="128"/>
      <x:c r="P15" s="128"/>
      <x:c r="Q15" s="128"/>
      <x:c r="R15" s="128"/>
      <x:c r="S15" s="128"/>
      <x:c r="T15" s="128"/>
      <x:c r="U15" s="128"/>
      <x:c r="V15" s="128"/>
    </x:row>
    <x:row r="16">
      <x:c r="A16" s="128"/>
      <x:c r="B16" s="128"/>
      <x:c r="C16" s="128"/>
      <x:c r="D16" s="128" t="str">
        <x:v>Columns: net mNAV. Rows: BTC price. Observed conversion classification held fixed.</x:v>
      </x:c>
      <x:c r="E16" s="128"/>
      <x:c r="F16" s="128"/>
      <x:c r="G16" s="128"/>
      <x:c r="H16" s="128"/>
      <x:c r="I16" s="128"/>
      <x:c r="J16" s="128"/>
      <x:c r="K16" s="128"/>
      <x:c r="L16" s="128"/>
      <x:c r="M16" s="128"/>
      <x:c r="N16" s="128"/>
      <x:c r="O16" s="128"/>
      <x:c r="P16" s="128"/>
      <x:c r="Q16" s="128"/>
      <x:c r="R16" s="128"/>
      <x:c r="S16" s="128"/>
      <x:c r="T16" s="128"/>
      <x:c r="U16" s="128"/>
      <x:c r="V16" s="128"/>
    </x:row>
    <x:row r="17">
      <x:c r="A17" s="128"/>
      <x:c r="B17" s="128"/>
      <x:c r="C17" s="128"/>
      <x:c r="D17" s="128"/>
      <x:c r="E17" s="128"/>
      <x:c r="F17" s="128"/>
      <x:c r="G17" s="128"/>
      <x:c r="H17" s="128"/>
      <x:c r="I17" s="128"/>
      <x:c r="J17" s="128"/>
      <x:c r="K17" s="128"/>
      <x:c r="L17" s="128"/>
      <x:c r="M17" s="128"/>
      <x:c r="N17" s="128"/>
      <x:c r="O17" s="128"/>
      <x:c r="P17" s="128"/>
      <x:c r="Q17" s="128"/>
      <x:c r="R17" s="128"/>
      <x:c r="S17" s="128"/>
      <x:c r="T17" s="128"/>
      <x:c r="U17" s="128"/>
      <x:c r="V17" s="128"/>
    </x:row>
    <x:row r="18">
      <x:c r="A18" s="128"/>
      <x:c r="B18" s="128"/>
      <x:c r="C18" s="128"/>
      <x:c r="D18" s="128"/>
      <x:c r="E18" s="128"/>
      <x:c r="F18" s="128"/>
      <x:c r="G18" s="128"/>
      <x:c r="H18" s="128"/>
      <x:c r="I18" s="128"/>
      <x:c r="J18" s="128"/>
      <x:c r="K18" s="128"/>
      <x:c r="L18" s="128"/>
      <x:c r="M18" s="128"/>
      <x:c r="N18" s="128"/>
      <x:c r="O18" s="128"/>
      <x:c r="P18" s="128"/>
      <x:c r="Q18" s="128"/>
      <x:c r="R18" s="128"/>
      <x:c r="S18" s="128"/>
      <x:c r="T18" s="128"/>
      <x:c r="U18" s="128"/>
      <x:c r="V18" s="128"/>
    </x:row>
    <x:row r="19">
      <x:c r="A19" s="128"/>
      <x:c r="B19" s="128"/>
      <x:c r="C19" s="128"/>
      <x:c r="D19" s="128" t="n">
        <x:f>B11</x:f>
        <x:v>37.54633177910199</x:v>
      </x:c>
      <x:c r="E19" s="128" t="n">
        <x:v>1</x:v>
      </x:c>
      <x:c r="F19" s="128" t="n">
        <x:v>1.1</x:v>
      </x:c>
      <x:c r="G19" s="128" t="n">
        <x:v>1.2</x:v>
      </x:c>
      <x:c r="H19" s="128" t="n">
        <x:v>1.3</x:v>
      </x:c>
      <x:c r="I19" s="128"/>
      <x:c r="J19" s="128"/>
      <x:c r="K19" s="128"/>
      <x:c r="L19" s="128"/>
      <x:c r="M19" s="128"/>
      <x:c r="N19" s="128"/>
      <x:c r="O19" s="128"/>
      <x:c r="P19" s="128"/>
      <x:c r="Q19" s="128"/>
      <x:c r="R19" s="128"/>
      <x:c r="S19" s="128"/>
      <x:c r="T19" s="128"/>
      <x:c r="U19" s="128"/>
      <x:c r="V19" s="128"/>
    </x:row>
    <x:row r="20">
      <x:c r="A20" s="128"/>
      <x:c r="B20" s="128"/>
      <x:c r="C20" s="128"/>
      <x:c r="D20" s="142" t="n">
        <x:v>0.1</x:v>
      </x:c>
      <x:c r="E20" s="141" t="n">
        <x:f t="dataTable" ref="E20:H25" dt2D="1" r1="B8" r2="B7"/>
        <x:v>42.6163846113574</x:v>
      </x:c>
      <x:c r="F20" s="141" t="n">
        <x:v>42.3773772308349</x:v>
      </x:c>
      <x:c r="G20" s="141" t="n">
        <x:v>42.1410357705288</x:v>
      </x:c>
      <x:c r="H20" s="141" t="n">
        <x:v>41.9073158737742</x:v>
      </x:c>
      <x:c r="I20" s="128"/>
      <x:c r="J20" s="128"/>
      <x:c r="K20" s="128"/>
      <x:c r="L20" s="128"/>
      <x:c r="M20" s="128"/>
      <x:c r="N20" s="128"/>
      <x:c r="O20" s="128"/>
      <x:c r="P20" s="128"/>
      <x:c r="Q20" s="128"/>
      <x:c r="R20" s="128"/>
      <x:c r="S20" s="128"/>
      <x:c r="T20" s="128"/>
      <x:c r="U20" s="128"/>
      <x:c r="V20" s="128"/>
    </x:row>
    <x:row r="21">
      <x:c r="A21" s="128"/>
      <x:c r="B21" s="128"/>
      <x:c r="C21" s="128"/>
      <x:c r="D21" s="142" t="n">
        <x:v>0.11</x:v>
      </x:c>
      <x:c r="E21" s="141" t="n">
        <x:v>40.053601348979</x:v>
      </x:c>
      <x:c r="F21" s="141" t="n">
        <x:v>39.8424043493275</x:v>
      </x:c>
      <x:c r="G21" s="141" t="n">
        <x:v>39.6334228915136</x:v>
      </x:c>
      <x:c r="H21" s="141" t="n">
        <x:v>39.4266222945527</x:v>
      </x:c>
      <x:c r="I21" s="128"/>
      <x:c r="J21" s="128"/>
      <x:c r="K21" s="128"/>
      <x:c r="L21" s="128"/>
      <x:c r="M21" s="128"/>
      <x:c r="N21" s="128"/>
      <x:c r="O21" s="128"/>
      <x:c r="P21" s="128"/>
      <x:c r="Q21" s="128"/>
      <x:c r="R21" s="128"/>
      <x:c r="S21" s="128"/>
      <x:c r="T21" s="128"/>
      <x:c r="U21" s="128"/>
      <x:c r="V21" s="128"/>
    </x:row>
    <x:row r="22">
      <x:c r="A22" s="128"/>
      <x:c r="B22" s="128"/>
      <x:c r="C22" s="128"/>
      <x:c r="D22" s="142" t="n">
        <x:v>0.12</x:v>
      </x:c>
      <x:c r="E22" s="141" t="n">
        <x:v>37.7815652764684</x:v>
      </x:c>
      <x:c r="F22" s="141" t="n">
        <x:v>37.5935927349951</x:v>
      </x:c>
      <x:c r="G22" s="141" t="n">
        <x:v>37.4074813526708</x:v>
      </x:c>
      <x:c r="H22" s="141" t="n">
        <x:v>37.2232036240206</x:v>
      </x:c>
      <x:c r="I22" s="128"/>
      <x:c r="J22" s="128"/>
      <x:c r="K22" s="128"/>
      <x:c r="L22" s="128"/>
      <x:c r="M22" s="128"/>
      <x:c r="N22" s="128"/>
      <x:c r="O22" s="128"/>
      <x:c r="P22" s="128"/>
      <x:c r="Q22" s="128"/>
      <x:c r="R22" s="128"/>
      <x:c r="S22" s="128"/>
      <x:c r="T22" s="128"/>
      <x:c r="U22" s="128"/>
      <x:c r="V22" s="128"/>
    </x:row>
    <x:row r="23">
      <x:c r="A23" s="128"/>
      <x:c r="B23" s="128"/>
      <x:c r="C23" s="128"/>
      <x:c r="D23" s="142" t="n">
        <x:v>0.13</x:v>
      </x:c>
      <x:c r="E23" s="141" t="n">
        <x:v>35.753454551774</x:v>
      </x:c>
      <x:c r="F23" s="141" t="n">
        <x:v>35.5850760877229</x:v>
      </x:c>
      <x:c r="G23" s="141" t="n">
        <x:v>35.4182761236967</x:v>
      </x:c>
      <x:c r="H23" s="141" t="n">
        <x:v>35.2530325662747</x:v>
      </x:c>
      <x:c r="I23" s="128"/>
      <x:c r="J23" s="128"/>
      <x:c r="K23" s="128"/>
      <x:c r="L23" s="128"/>
      <x:c r="M23" s="128"/>
      <x:c r="N23" s="128"/>
      <x:c r="O23" s="128"/>
      <x:c r="P23" s="128"/>
      <x:c r="Q23" s="128"/>
      <x:c r="R23" s="128"/>
      <x:c r="S23" s="128"/>
      <x:c r="T23" s="128"/>
      <x:c r="U23" s="128"/>
      <x:c r="V23" s="128"/>
    </x:row>
    <x:row r="24">
      <x:c r="A24" s="128"/>
      <x:c r="B24" s="128"/>
      <x:c r="C24" s="128"/>
      <x:c r="D24" s="142" t="n">
        <x:v>0.14</x:v>
      </x:c>
      <x:c r="E24" s="141" t="n">
        <x:v>33.9319887197183</x:v>
      </x:c>
      <x:c r="F24" s="141" t="n">
        <x:v>33.7802929882488</x:v>
      </x:c>
      <x:c r="G24" s="141" t="n">
        <x:v>33.6299475565088</x:v>
      </x:c>
      <x:c r="H24" s="141" t="n">
        <x:v>33.4809344751103</x:v>
      </x:c>
      <x:c r="I24" s="128"/>
      <x:c r="J24" s="128"/>
      <x:c r="K24" s="128"/>
      <x:c r="L24" s="128"/>
      <x:c r="M24" s="128"/>
      <x:c r="N24" s="128"/>
      <x:c r="O24" s="128"/>
      <x:c r="P24" s="128"/>
      <x:c r="Q24" s="128"/>
      <x:c r="R24" s="128"/>
      <x:c r="S24" s="128"/>
      <x:c r="T24" s="128"/>
      <x:c r="U24" s="128"/>
      <x:c r="V24" s="128"/>
    </x:row>
    <x:row r="25">
      <x:c r="A25" s="128"/>
      <x:c r="B25" s="128"/>
      <x:c r="C25" s="128"/>
      <x:c r="D25" s="142" t="n">
        <x:v>0.15</x:v>
      </x:c>
      <x:c r="E25" s="141" t="n">
        <x:v>32.2871160909724</x:v>
      </x:c>
      <x:c r="F25" s="141" t="n">
        <x:v>32.1497411967794</x:v>
      </x:c>
      <x:c r="G25" s="141" t="n">
        <x:v>32.013530352413</x:v>
      </x:c>
      <x:c r="H25" s="141" t="n">
        <x:v>31.8784688248826</x:v>
      </x:c>
      <x:c r="I25" s="128"/>
      <x:c r="J25" s="128"/>
      <x:c r="K25" s="128"/>
      <x:c r="L25" s="128"/>
      <x:c r="M25" s="128"/>
      <x:c r="N25" s="128"/>
      <x:c r="O25" s="128"/>
      <x:c r="P25" s="128"/>
      <x:c r="Q25" s="128"/>
      <x:c r="R25" s="128"/>
      <x:c r="S25" s="128"/>
      <x:c r="T25" s="128"/>
      <x:c r="U25" s="128"/>
      <x:c r="V25" s="128"/>
    </x:row>
    <x:row r="26">
      <x:c r="A26" s="128"/>
      <x:c r="B26" s="128"/>
      <x:c r="C26" s="128"/>
      <x:c r="D26" s="128"/>
      <x:c r="E26" s="128"/>
      <x:c r="F26" s="128"/>
      <x:c r="G26" s="128"/>
      <x:c r="H26" s="128"/>
      <x:c r="I26" s="128"/>
      <x:c r="J26" s="128"/>
      <x:c r="K26" s="128"/>
      <x:c r="L26" s="128"/>
      <x:c r="M26" s="128"/>
      <x:c r="N26" s="128"/>
      <x:c r="O26" s="128"/>
      <x:c r="P26" s="128"/>
      <x:c r="Q26" s="128"/>
      <x:c r="R26" s="128"/>
      <x:c r="S26" s="128"/>
      <x:c r="T26" s="128"/>
      <x:c r="U26" s="128"/>
      <x:c r="V26" s="128"/>
    </x:row>
    <x:row r="27">
      <x:c r="A27" s="128"/>
      <x:c r="B27" s="128"/>
      <x:c r="C27" s="128"/>
      <x:c r="D27" s="128" t="str">
        <x:v>Columns: EUR/USD. Rows: STRC rate. Native Excel recalculation remains to be checked on Mac.</x:v>
      </x:c>
      <x:c r="E27" s="128"/>
      <x:c r="F27" s="128"/>
      <x:c r="G27" s="128"/>
      <x:c r="H27" s="128"/>
      <x:c r="I27" s="128"/>
      <x:c r="J27" s="128"/>
      <x:c r="K27" s="128"/>
      <x:c r="L27" s="128"/>
      <x:c r="M27" s="128"/>
      <x:c r="N27" s="128"/>
      <x:c r="O27" s="128"/>
      <x:c r="P27" s="128"/>
      <x:c r="Q27" s="128"/>
      <x:c r="R27" s="128"/>
      <x:c r="S27" s="128"/>
      <x:c r="T27" s="128"/>
      <x:c r="U27" s="128"/>
      <x:c r="V27" s="128"/>
    </x:row>
    <x:row r="28">
      <x:c r="A28" s="128"/>
      <x:c r="B28" s="128"/>
      <x:c r="C28" s="128"/>
      <x:c r="D28" s="128"/>
      <x:c r="E28" s="128"/>
      <x:c r="F28" s="128"/>
      <x:c r="G28" s="128"/>
      <x:c r="H28" s="128"/>
      <x:c r="I28" s="128"/>
      <x:c r="J28" s="128"/>
      <x:c r="K28" s="128"/>
      <x:c r="L28" s="128"/>
      <x:c r="M28" s="128"/>
      <x:c r="N28" s="128"/>
      <x:c r="O28" s="128"/>
      <x:c r="P28" s="128"/>
      <x:c r="Q28" s="128"/>
      <x:c r="R28" s="128"/>
      <x:c r="S28" s="128"/>
      <x:c r="T28" s="128"/>
      <x:c r="U28" s="128"/>
      <x:c r="V28" s="128"/>
    </x:row>
    <x:row r="29">
      <x:c r="A29" s="128"/>
      <x:c r="B29" s="128"/>
      <x:c r="C29" s="128"/>
      <x:c r="D29" s="128"/>
      <x:c r="E29" s="128"/>
      <x:c r="F29" s="128"/>
      <x:c r="G29" s="128"/>
      <x:c r="H29" s="128"/>
      <x:c r="I29" s="128"/>
      <x:c r="J29" s="128"/>
      <x:c r="K29" s="128"/>
      <x:c r="L29" s="128"/>
      <x:c r="M29" s="128"/>
      <x:c r="N29" s="128"/>
      <x:c r="O29" s="128"/>
      <x:c r="P29" s="128"/>
      <x:c r="Q29" s="128"/>
      <x:c r="R29" s="128"/>
      <x:c r="S29" s="128"/>
      <x:c r="T29" s="128"/>
      <x:c r="U29" s="128"/>
      <x:c r="V29" s="128"/>
    </x:row>
    <x:row r="30">
      <x:c r="A30" s="128"/>
      <x:c r="B30" s="128"/>
      <x:c r="C30" s="128"/>
      <x:c r="D30" s="128"/>
      <x:c r="E30" s="128"/>
      <x:c r="F30" s="128"/>
      <x:c r="G30" s="128"/>
      <x:c r="H30" s="128"/>
      <x:c r="I30" s="128"/>
      <x:c r="J30" s="128"/>
      <x:c r="K30" s="128"/>
      <x:c r="L30" s="128"/>
      <x:c r="M30" s="128"/>
      <x:c r="N30" s="128"/>
      <x:c r="O30" s="128"/>
      <x:c r="P30" s="128"/>
      <x:c r="Q30" s="128"/>
      <x:c r="R30" s="128"/>
      <x:c r="S30" s="128"/>
      <x:c r="T30" s="128"/>
      <x:c r="U30" s="128"/>
      <x:c r="V30" s="128"/>
    </x:row>
    <x:row r="31">
      <x:c r="A31" s="128"/>
      <x:c r="B31" s="128"/>
      <x:c r="C31" s="128"/>
      <x:c r="D31" s="128"/>
      <x:c r="E31" s="128"/>
      <x:c r="F31" s="128"/>
      <x:c r="G31" s="128"/>
      <x:c r="H31" s="128"/>
      <x:c r="I31" s="128"/>
      <x:c r="J31" s="128"/>
      <x:c r="K31" s="128"/>
      <x:c r="L31" s="128"/>
      <x:c r="M31" s="128"/>
      <x:c r="N31" s="128"/>
      <x:c r="O31" s="128"/>
      <x:c r="P31" s="128"/>
      <x:c r="Q31" s="128"/>
      <x:c r="R31" s="128"/>
      <x:c r="S31" s="128"/>
      <x:c r="T31" s="128"/>
      <x:c r="U31" s="128"/>
      <x:c r="V31" s="128"/>
    </x:row>
    <x:row r="32">
      <x:c r="A32" s="128"/>
      <x:c r="B32" s="128"/>
      <x:c r="C32" s="128"/>
      <x:c r="D32" s="128"/>
      <x:c r="E32" s="128"/>
      <x:c r="F32" s="128"/>
      <x:c r="G32" s="128"/>
      <x:c r="H32" s="128"/>
      <x:c r="I32" s="128"/>
      <x:c r="J32" s="128"/>
      <x:c r="K32" s="128"/>
      <x:c r="L32" s="128"/>
      <x:c r="M32" s="128"/>
      <x:c r="N32" s="128"/>
      <x:c r="O32" s="128"/>
      <x:c r="P32" s="128"/>
      <x:c r="Q32" s="128"/>
      <x:c r="R32" s="128"/>
      <x:c r="S32" s="128"/>
      <x:c r="T32" s="128"/>
      <x:c r="U32" s="128"/>
      <x:c r="V32" s="128"/>
    </x:row>
    <x:row r="33">
      <x:c r="A33" s="128"/>
      <x:c r="B33" s="128"/>
      <x:c r="C33" s="128"/>
      <x:c r="D33" s="128"/>
      <x:c r="E33" s="128"/>
      <x:c r="F33" s="128"/>
      <x:c r="G33" s="128"/>
      <x:c r="H33" s="128"/>
      <x:c r="I33" s="128"/>
      <x:c r="J33" s="128"/>
      <x:c r="K33" s="128"/>
      <x:c r="L33" s="128"/>
      <x:c r="M33" s="128"/>
      <x:c r="N33" s="128"/>
      <x:c r="O33" s="128"/>
      <x:c r="P33" s="128"/>
      <x:c r="Q33" s="128"/>
      <x:c r="R33" s="128"/>
      <x:c r="S33" s="128"/>
      <x:c r="T33" s="128"/>
      <x:c r="U33" s="128"/>
      <x:c r="V33" s="128"/>
    </x:row>
    <x:row r="34">
      <x:c r="A34" s="128"/>
      <x:c r="B34" s="128"/>
      <x:c r="C34" s="128"/>
      <x:c r="D34" s="128"/>
      <x:c r="E34" s="128"/>
      <x:c r="F34" s="128"/>
      <x:c r="G34" s="128"/>
      <x:c r="H34" s="128"/>
      <x:c r="I34" s="128"/>
      <x:c r="J34" s="128"/>
      <x:c r="K34" s="128"/>
      <x:c r="L34" s="128"/>
      <x:c r="M34" s="128"/>
      <x:c r="N34" s="128"/>
      <x:c r="O34" s="128"/>
      <x:c r="P34" s="128"/>
      <x:c r="Q34" s="128"/>
      <x:c r="R34" s="128"/>
      <x:c r="S34" s="128"/>
      <x:c r="T34" s="128"/>
      <x:c r="U34" s="128"/>
      <x:c r="V34" s="128"/>
    </x:row>
    <x:row r="35">
      <x:c r="A35" s="128"/>
      <x:c r="B35" s="128"/>
      <x:c r="C35" s="128"/>
      <x:c r="D35" s="128"/>
      <x:c r="E35" s="128"/>
      <x:c r="F35" s="128"/>
      <x:c r="G35" s="128"/>
      <x:c r="H35" s="128"/>
      <x:c r="I35" s="128"/>
      <x:c r="J35" s="128"/>
      <x:c r="K35" s="128"/>
      <x:c r="L35" s="128"/>
      <x:c r="M35" s="128"/>
      <x:c r="N35" s="128"/>
      <x:c r="O35" s="128"/>
      <x:c r="P35" s="128"/>
      <x:c r="Q35" s="128"/>
      <x:c r="R35" s="128"/>
      <x:c r="S35" s="128"/>
      <x:c r="T35" s="128"/>
      <x:c r="U35" s="128"/>
      <x:c r="V35" s="128"/>
    </x:row>
    <x:row r="36">
      <x:c r="A36" s="128"/>
      <x:c r="B36" s="128"/>
      <x:c r="C36" s="128"/>
      <x:c r="D36" s="128"/>
      <x:c r="E36" s="128"/>
      <x:c r="F36" s="128"/>
      <x:c r="G36" s="128"/>
      <x:c r="H36" s="128"/>
      <x:c r="I36" s="128"/>
      <x:c r="J36" s="128"/>
      <x:c r="K36" s="128"/>
      <x:c r="L36" s="128"/>
      <x:c r="M36" s="128"/>
      <x:c r="N36" s="128"/>
      <x:c r="O36" s="128"/>
      <x:c r="P36" s="128"/>
      <x:c r="Q36" s="128"/>
      <x:c r="R36" s="128"/>
      <x:c r="S36" s="128"/>
      <x:c r="T36" s="128"/>
      <x:c r="U36" s="128"/>
      <x:c r="V36" s="128"/>
    </x:row>
    <x:row r="37">
      <x:c r="A37" s="128"/>
      <x:c r="B37" s="128"/>
      <x:c r="C37" s="128"/>
      <x:c r="D37" s="128"/>
      <x:c r="E37" s="128"/>
      <x:c r="F37" s="128"/>
      <x:c r="G37" s="128"/>
      <x:c r="H37" s="128"/>
      <x:c r="I37" s="128"/>
      <x:c r="J37" s="128"/>
      <x:c r="K37" s="128"/>
      <x:c r="L37" s="128"/>
      <x:c r="M37" s="128"/>
      <x:c r="N37" s="128"/>
      <x:c r="O37" s="128"/>
      <x:c r="P37" s="128"/>
      <x:c r="Q37" s="128"/>
      <x:c r="R37" s="128"/>
      <x:c r="S37" s="128"/>
      <x:c r="T37" s="128"/>
      <x:c r="U37" s="128"/>
      <x:c r="V37" s="128"/>
    </x:row>
    <x:row r="38">
      <x:c r="A38" s="128"/>
      <x:c r="B38" s="128"/>
      <x:c r="C38" s="128"/>
      <x:c r="D38" s="128"/>
      <x:c r="E38" s="128"/>
      <x:c r="F38" s="128"/>
      <x:c r="G38" s="128"/>
      <x:c r="H38" s="128"/>
      <x:c r="I38" s="128"/>
      <x:c r="J38" s="128"/>
      <x:c r="K38" s="128"/>
      <x:c r="L38" s="128"/>
      <x:c r="M38" s="128"/>
      <x:c r="N38" s="128"/>
      <x:c r="O38" s="128"/>
      <x:c r="P38" s="128"/>
      <x:c r="Q38" s="128"/>
      <x:c r="R38" s="128"/>
      <x:c r="S38" s="128"/>
      <x:c r="T38" s="128"/>
      <x:c r="U38" s="128"/>
      <x:c r="V38" s="128"/>
    </x:row>
    <x:row r="39">
      <x:c r="A39" s="128"/>
      <x:c r="B39" s="128"/>
      <x:c r="C39" s="128"/>
      <x:c r="D39" s="128"/>
      <x:c r="E39" s="128"/>
      <x:c r="F39" s="128"/>
      <x:c r="G39" s="128"/>
      <x:c r="H39" s="128"/>
      <x:c r="I39" s="128"/>
      <x:c r="J39" s="128"/>
      <x:c r="K39" s="128"/>
      <x:c r="L39" s="128"/>
      <x:c r="M39" s="128"/>
      <x:c r="N39" s="128"/>
      <x:c r="O39" s="128"/>
      <x:c r="P39" s="128"/>
      <x:c r="Q39" s="128"/>
      <x:c r="R39" s="128"/>
      <x:c r="S39" s="128"/>
      <x:c r="T39" s="128"/>
      <x:c r="U39" s="128"/>
      <x:c r="V39" s="128"/>
    </x:row>
    <x:row r="40">
      <x:c r="A40" s="128"/>
      <x:c r="B40" s="128"/>
      <x:c r="C40" s="128"/>
      <x:c r="D40" s="128"/>
      <x:c r="E40" s="128"/>
      <x:c r="F40" s="128"/>
      <x:c r="G40" s="128"/>
      <x:c r="H40" s="128"/>
      <x:c r="I40" s="128"/>
      <x:c r="J40" s="128"/>
      <x:c r="K40" s="128"/>
      <x:c r="L40" s="128"/>
      <x:c r="M40" s="128"/>
      <x:c r="N40" s="128"/>
      <x:c r="O40" s="128"/>
      <x:c r="P40" s="128"/>
      <x:c r="Q40" s="128"/>
      <x:c r="R40" s="128"/>
      <x:c r="S40" s="128"/>
      <x:c r="T40" s="128"/>
      <x:c r="U40" s="128"/>
      <x:c r="V40" s="128"/>
    </x:row>
    <x:row r="41">
      <x:c r="A41" s="128"/>
      <x:c r="B41" s="128"/>
      <x:c r="C41" s="128"/>
      <x:c r="D41" s="128"/>
      <x:c r="E41" s="128"/>
      <x:c r="F41" s="128"/>
      <x:c r="G41" s="128"/>
      <x:c r="H41" s="128"/>
      <x:c r="I41" s="128"/>
      <x:c r="J41" s="128"/>
      <x:c r="K41" s="128"/>
      <x:c r="L41" s="128"/>
      <x:c r="M41" s="128"/>
      <x:c r="N41" s="128"/>
      <x:c r="O41" s="128"/>
      <x:c r="P41" s="128"/>
      <x:c r="Q41" s="128"/>
      <x:c r="R41" s="128"/>
      <x:c r="S41" s="128"/>
      <x:c r="T41" s="128"/>
      <x:c r="U41" s="128"/>
      <x:c r="V41" s="128"/>
    </x:row>
    <x:row r="42">
      <x:c r="A42" s="128"/>
      <x:c r="B42" s="128"/>
      <x:c r="C42" s="128"/>
      <x:c r="D42" s="128"/>
      <x:c r="E42" s="128"/>
      <x:c r="F42" s="128"/>
      <x:c r="G42" s="128"/>
      <x:c r="H42" s="128"/>
      <x:c r="I42" s="128"/>
      <x:c r="J42" s="128"/>
      <x:c r="K42" s="128"/>
      <x:c r="L42" s="128"/>
      <x:c r="M42" s="128"/>
      <x:c r="N42" s="128"/>
      <x:c r="O42" s="128"/>
      <x:c r="P42" s="128"/>
      <x:c r="Q42" s="128"/>
      <x:c r="R42" s="128"/>
      <x:c r="S42" s="128"/>
      <x:c r="T42" s="128"/>
      <x:c r="U42" s="128"/>
      <x:c r="V42" s="128"/>
    </x:row>
    <x:row r="43">
      <x:c r="A43" s="128"/>
      <x:c r="B43" s="128"/>
      <x:c r="C43" s="128"/>
      <x:c r="D43" s="128"/>
      <x:c r="E43" s="128"/>
      <x:c r="F43" s="128"/>
      <x:c r="G43" s="128"/>
      <x:c r="H43" s="128"/>
      <x:c r="I43" s="128"/>
      <x:c r="J43" s="128"/>
      <x:c r="K43" s="128"/>
      <x:c r="L43" s="128"/>
      <x:c r="M43" s="128"/>
      <x:c r="N43" s="128"/>
      <x:c r="O43" s="128"/>
      <x:c r="P43" s="128"/>
      <x:c r="Q43" s="128"/>
      <x:c r="R43" s="128"/>
      <x:c r="S43" s="128"/>
      <x:c r="T43" s="128"/>
      <x:c r="U43" s="128"/>
      <x:c r="V43" s="128"/>
    </x:row>
    <x:row r="44">
      <x:c r="A44" s="128"/>
      <x:c r="B44" s="128"/>
      <x:c r="C44" s="128"/>
      <x:c r="D44" s="128"/>
      <x:c r="E44" s="128"/>
      <x:c r="F44" s="128"/>
      <x:c r="G44" s="128"/>
      <x:c r="H44" s="128"/>
      <x:c r="I44" s="128"/>
      <x:c r="J44" s="128"/>
      <x:c r="K44" s="128"/>
      <x:c r="L44" s="128"/>
      <x:c r="M44" s="128"/>
      <x:c r="N44" s="128"/>
      <x:c r="O44" s="128"/>
      <x:c r="P44" s="128"/>
      <x:c r="Q44" s="128"/>
      <x:c r="R44" s="128"/>
      <x:c r="S44" s="128"/>
      <x:c r="T44" s="128"/>
      <x:c r="U44" s="128"/>
      <x:c r="V44" s="128"/>
    </x:row>
    <x:row r="45">
      <x:c r="A45" s="128"/>
      <x:c r="B45" s="128"/>
      <x:c r="C45" s="128"/>
      <x:c r="D45" s="128"/>
      <x:c r="E45" s="128"/>
      <x:c r="F45" s="128"/>
      <x:c r="G45" s="128"/>
      <x:c r="H45" s="128"/>
      <x:c r="I45" s="128"/>
      <x:c r="J45" s="128"/>
      <x:c r="K45" s="128"/>
      <x:c r="L45" s="128"/>
      <x:c r="M45" s="128"/>
      <x:c r="N45" s="128"/>
      <x:c r="O45" s="128"/>
      <x:c r="P45" s="128"/>
      <x:c r="Q45" s="128"/>
      <x:c r="R45" s="128"/>
      <x:c r="S45" s="128"/>
      <x:c r="T45" s="128"/>
      <x:c r="U45" s="128"/>
      <x:c r="V45" s="128"/>
    </x:row>
    <x:row r="46">
      <x:c r="A46" s="128"/>
      <x:c r="B46" s="128"/>
      <x:c r="C46" s="128"/>
      <x:c r="D46" s="128"/>
      <x:c r="E46" s="128"/>
      <x:c r="F46" s="128"/>
      <x:c r="G46" s="128"/>
      <x:c r="H46" s="128"/>
      <x:c r="I46" s="128"/>
      <x:c r="J46" s="128"/>
      <x:c r="K46" s="128"/>
      <x:c r="L46" s="128"/>
      <x:c r="M46" s="128"/>
      <x:c r="N46" s="128"/>
      <x:c r="O46" s="128"/>
      <x:c r="P46" s="128"/>
      <x:c r="Q46" s="128"/>
      <x:c r="R46" s="128"/>
      <x:c r="S46" s="128"/>
      <x:c r="T46" s="128"/>
      <x:c r="U46" s="128"/>
      <x:c r="V46" s="128"/>
    </x:row>
    <x:row r="47">
      <x:c r="A47" s="128"/>
      <x:c r="B47" s="128"/>
      <x:c r="C47" s="128"/>
      <x:c r="D47" s="128"/>
      <x:c r="E47" s="128"/>
      <x:c r="F47" s="128"/>
      <x:c r="G47" s="128"/>
      <x:c r="H47" s="128"/>
      <x:c r="I47" s="128"/>
      <x:c r="J47" s="128"/>
      <x:c r="K47" s="128"/>
      <x:c r="L47" s="128"/>
      <x:c r="M47" s="128"/>
      <x:c r="N47" s="128"/>
      <x:c r="O47" s="128"/>
      <x:c r="P47" s="128"/>
      <x:c r="Q47" s="128"/>
      <x:c r="R47" s="128"/>
      <x:c r="S47" s="128"/>
      <x:c r="T47" s="128"/>
      <x:c r="U47" s="128"/>
      <x:c r="V47" s="128"/>
    </x:row>
    <x:row r="48">
      <x:c r="A48" s="128"/>
      <x:c r="B48" s="128"/>
      <x:c r="C48" s="128"/>
      <x:c r="D48" s="128"/>
      <x:c r="E48" s="128"/>
      <x:c r="F48" s="128"/>
      <x:c r="G48" s="128"/>
      <x:c r="H48" s="128"/>
      <x:c r="I48" s="128"/>
      <x:c r="J48" s="128"/>
      <x:c r="K48" s="128"/>
      <x:c r="L48" s="128"/>
      <x:c r="M48" s="128"/>
      <x:c r="N48" s="128"/>
      <x:c r="O48" s="128"/>
      <x:c r="P48" s="128"/>
      <x:c r="Q48" s="128"/>
      <x:c r="R48" s="128"/>
      <x:c r="S48" s="128"/>
      <x:c r="T48" s="128"/>
      <x:c r="U48" s="128"/>
      <x:c r="V48" s="128"/>
    </x:row>
    <x:row r="49">
      <x:c r="A49" s="128"/>
      <x:c r="B49" s="128"/>
      <x:c r="C49" s="128"/>
      <x:c r="D49" s="128"/>
      <x:c r="E49" s="128"/>
      <x:c r="F49" s="128"/>
      <x:c r="G49" s="128"/>
      <x:c r="H49" s="128"/>
      <x:c r="I49" s="128"/>
      <x:c r="J49" s="128"/>
      <x:c r="K49" s="128"/>
      <x:c r="L49" s="128"/>
      <x:c r="M49" s="128"/>
      <x:c r="N49" s="128"/>
      <x:c r="O49" s="128"/>
      <x:c r="P49" s="128"/>
      <x:c r="Q49" s="128"/>
      <x:c r="R49" s="128"/>
      <x:c r="S49" s="128"/>
      <x:c r="T49" s="128"/>
      <x:c r="U49" s="128"/>
      <x:c r="V49" s="128"/>
    </x:row>
    <x:row r="50">
      <x:c r="A50" s="128"/>
      <x:c r="B50" s="128"/>
      <x:c r="C50" s="128"/>
      <x:c r="D50" s="128"/>
      <x:c r="E50" s="128"/>
      <x:c r="F50" s="128"/>
      <x:c r="G50" s="128"/>
      <x:c r="H50" s="128"/>
      <x:c r="I50" s="128"/>
      <x:c r="J50" s="128"/>
      <x:c r="K50" s="128"/>
      <x:c r="L50" s="128"/>
      <x:c r="M50" s="128"/>
      <x:c r="N50" s="128"/>
      <x:c r="O50" s="128"/>
      <x:c r="P50" s="128"/>
      <x:c r="Q50" s="128"/>
      <x:c r="R50" s="128"/>
      <x:c r="S50" s="128"/>
      <x:c r="T50" s="128"/>
      <x:c r="U50" s="128"/>
      <x:c r="V50" s="128"/>
    </x:row>
    <x:row r="51">
      <x:c r="A51" s="128"/>
      <x:c r="B51" s="128"/>
      <x:c r="C51" s="128"/>
      <x:c r="D51" s="128"/>
      <x:c r="E51" s="128"/>
      <x:c r="F51" s="128"/>
      <x:c r="G51" s="128"/>
      <x:c r="H51" s="128"/>
      <x:c r="I51" s="128"/>
      <x:c r="J51" s="128"/>
      <x:c r="K51" s="128"/>
      <x:c r="L51" s="128"/>
      <x:c r="M51" s="128"/>
      <x:c r="N51" s="128"/>
      <x:c r="O51" s="128"/>
      <x:c r="P51" s="128"/>
      <x:c r="Q51" s="128"/>
      <x:c r="R51" s="128"/>
      <x:c r="S51" s="128"/>
      <x:c r="T51" s="128"/>
      <x:c r="U51" s="128"/>
      <x:c r="V51" s="128"/>
    </x:row>
    <x:row r="52">
      <x:c r="A52" s="128"/>
      <x:c r="B52" s="128"/>
      <x:c r="C52" s="128"/>
      <x:c r="D52" s="128"/>
      <x:c r="E52" s="128"/>
      <x:c r="F52" s="128"/>
      <x:c r="G52" s="128"/>
      <x:c r="H52" s="128"/>
      <x:c r="I52" s="128"/>
      <x:c r="J52" s="128"/>
      <x:c r="K52" s="128"/>
      <x:c r="L52" s="128"/>
      <x:c r="M52" s="128"/>
      <x:c r="N52" s="128"/>
      <x:c r="O52" s="128"/>
      <x:c r="P52" s="128"/>
      <x:c r="Q52" s="128"/>
      <x:c r="R52" s="128"/>
      <x:c r="S52" s="128"/>
      <x:c r="T52" s="128"/>
      <x:c r="U52" s="128"/>
      <x:c r="V52" s="128"/>
    </x:row>
    <x:row r="53">
      <x:c r="A53" s="128"/>
      <x:c r="B53" s="128"/>
      <x:c r="C53" s="128"/>
      <x:c r="D53" s="128"/>
      <x:c r="E53" s="128"/>
      <x:c r="F53" s="128"/>
      <x:c r="G53" s="128"/>
      <x:c r="H53" s="128"/>
      <x:c r="I53" s="128"/>
      <x:c r="J53" s="128"/>
      <x:c r="K53" s="128"/>
      <x:c r="L53" s="128"/>
      <x:c r="M53" s="128"/>
      <x:c r="N53" s="128"/>
      <x:c r="O53" s="128"/>
      <x:c r="P53" s="128"/>
      <x:c r="Q53" s="128"/>
      <x:c r="R53" s="128"/>
      <x:c r="S53" s="128"/>
      <x:c r="T53" s="128"/>
      <x:c r="U53" s="128"/>
      <x:c r="V53" s="128"/>
    </x:row>
    <x:row r="54">
      <x:c r="A54" s="128"/>
      <x:c r="B54" s="128"/>
      <x:c r="C54" s="128"/>
      <x:c r="D54" s="128"/>
      <x:c r="E54" s="128"/>
      <x:c r="F54" s="128"/>
      <x:c r="G54" s="128"/>
      <x:c r="H54" s="128"/>
      <x:c r="I54" s="128"/>
      <x:c r="J54" s="128"/>
      <x:c r="K54" s="128"/>
      <x:c r="L54" s="128"/>
      <x:c r="M54" s="128"/>
      <x:c r="N54" s="128"/>
      <x:c r="O54" s="128"/>
      <x:c r="P54" s="128"/>
      <x:c r="Q54" s="128"/>
      <x:c r="R54" s="128"/>
      <x:c r="S54" s="128"/>
      <x:c r="T54" s="128"/>
      <x:c r="U54" s="128"/>
      <x:c r="V54" s="128"/>
    </x:row>
    <x:row r="55">
      <x:c r="A55" s="128"/>
      <x:c r="B55" s="128"/>
      <x:c r="C55" s="128"/>
      <x:c r="D55" s="128"/>
      <x:c r="E55" s="128"/>
      <x:c r="F55" s="128"/>
      <x:c r="G55" s="128"/>
      <x:c r="H55" s="128"/>
      <x:c r="I55" s="128"/>
      <x:c r="J55" s="128"/>
      <x:c r="K55" s="128"/>
      <x:c r="L55" s="128"/>
      <x:c r="M55" s="128"/>
      <x:c r="N55" s="128"/>
      <x:c r="O55" s="128"/>
      <x:c r="P55" s="128"/>
      <x:c r="Q55" s="128"/>
      <x:c r="R55" s="128"/>
      <x:c r="S55" s="128"/>
      <x:c r="T55" s="128"/>
      <x:c r="U55" s="128"/>
      <x:c r="V55" s="128"/>
    </x:row>
    <x:row r="56">
      <x:c r="A56" s="128"/>
      <x:c r="B56" s="128"/>
      <x:c r="C56" s="128"/>
      <x:c r="D56" s="128"/>
      <x:c r="E56" s="128"/>
      <x:c r="F56" s="128"/>
      <x:c r="G56" s="128"/>
      <x:c r="H56" s="128"/>
      <x:c r="I56" s="128"/>
      <x:c r="J56" s="128"/>
      <x:c r="K56" s="128"/>
      <x:c r="L56" s="128"/>
      <x:c r="M56" s="128"/>
      <x:c r="N56" s="128"/>
      <x:c r="O56" s="128"/>
      <x:c r="P56" s="128"/>
      <x:c r="Q56" s="128"/>
      <x:c r="R56" s="128"/>
      <x:c r="S56" s="128"/>
      <x:c r="T56" s="128"/>
      <x:c r="U56" s="128"/>
      <x:c r="V56" s="128"/>
    </x:row>
    <x:row r="57">
      <x:c r="A57" s="128"/>
      <x:c r="B57" s="128"/>
      <x:c r="C57" s="128"/>
      <x:c r="D57" s="128"/>
      <x:c r="E57" s="128"/>
      <x:c r="F57" s="128"/>
      <x:c r="G57" s="128"/>
      <x:c r="H57" s="128"/>
      <x:c r="I57" s="128"/>
      <x:c r="J57" s="128"/>
      <x:c r="K57" s="128"/>
      <x:c r="L57" s="128"/>
      <x:c r="M57" s="128"/>
      <x:c r="N57" s="128"/>
      <x:c r="O57" s="128"/>
      <x:c r="P57" s="128"/>
      <x:c r="Q57" s="128"/>
      <x:c r="R57" s="128"/>
      <x:c r="S57" s="128"/>
      <x:c r="T57" s="128"/>
      <x:c r="U57" s="128"/>
      <x:c r="V57" s="128"/>
    </x:row>
    <x:row r="58">
      <x:c r="A58" s="128"/>
      <x:c r="B58" s="128"/>
      <x:c r="C58" s="128"/>
      <x:c r="D58" s="128"/>
      <x:c r="E58" s="128"/>
      <x:c r="F58" s="128"/>
      <x:c r="G58" s="128"/>
      <x:c r="H58" s="128"/>
      <x:c r="I58" s="128"/>
      <x:c r="J58" s="128"/>
      <x:c r="K58" s="128"/>
      <x:c r="L58" s="128"/>
      <x:c r="M58" s="128"/>
      <x:c r="N58" s="128"/>
      <x:c r="O58" s="128"/>
      <x:c r="P58" s="128"/>
      <x:c r="Q58" s="128"/>
      <x:c r="R58" s="128"/>
      <x:c r="S58" s="128"/>
      <x:c r="T58" s="128"/>
      <x:c r="U58" s="128"/>
      <x:c r="V58" s="128"/>
    </x:row>
    <x:row r="59">
      <x:c r="A59" s="128"/>
      <x:c r="B59" s="128"/>
      <x:c r="C59" s="128"/>
      <x:c r="D59" s="128"/>
      <x:c r="E59" s="128"/>
      <x:c r="F59" s="128"/>
      <x:c r="G59" s="128"/>
      <x:c r="H59" s="128"/>
      <x:c r="I59" s="128"/>
      <x:c r="J59" s="128"/>
      <x:c r="K59" s="128"/>
      <x:c r="L59" s="128"/>
      <x:c r="M59" s="128"/>
      <x:c r="N59" s="128"/>
      <x:c r="O59" s="128"/>
      <x:c r="P59" s="128"/>
      <x:c r="Q59" s="128"/>
      <x:c r="R59" s="128"/>
      <x:c r="S59" s="128"/>
      <x:c r="T59" s="128"/>
      <x:c r="U59" s="128"/>
      <x:c r="V59" s="128"/>
    </x:row>
    <x:row r="60">
      <x:c r="A60" s="128"/>
      <x:c r="B60" s="128"/>
      <x:c r="C60" s="128"/>
      <x:c r="D60" s="128"/>
      <x:c r="E60" s="128"/>
      <x:c r="F60" s="128"/>
      <x:c r="G60" s="128"/>
      <x:c r="H60" s="128"/>
      <x:c r="I60" s="128"/>
      <x:c r="J60" s="128"/>
      <x:c r="K60" s="128"/>
      <x:c r="L60" s="128"/>
      <x:c r="M60" s="128"/>
      <x:c r="N60" s="128"/>
      <x:c r="O60" s="128"/>
      <x:c r="P60" s="128"/>
      <x:c r="Q60" s="128"/>
      <x:c r="R60" s="128"/>
      <x:c r="S60" s="128"/>
      <x:c r="T60" s="128"/>
      <x:c r="U60" s="128"/>
      <x:c r="V60" s="128"/>
    </x:row>
    <x:row r="61">
      <x:c r="A61" s="128"/>
      <x:c r="B61" s="128"/>
      <x:c r="C61" s="128"/>
      <x:c r="D61" s="128"/>
      <x:c r="E61" s="128"/>
      <x:c r="F61" s="128"/>
      <x:c r="G61" s="128"/>
      <x:c r="H61" s="128"/>
      <x:c r="I61" s="128"/>
      <x:c r="J61" s="128"/>
      <x:c r="K61" s="128"/>
      <x:c r="L61" s="128"/>
      <x:c r="M61" s="128"/>
      <x:c r="N61" s="128"/>
      <x:c r="O61" s="128"/>
      <x:c r="P61" s="128"/>
      <x:c r="Q61" s="128"/>
      <x:c r="R61" s="128"/>
      <x:c r="S61" s="128"/>
      <x:c r="T61" s="128"/>
      <x:c r="U61" s="128"/>
      <x:c r="V61" s="128"/>
    </x:row>
    <x:row r="62">
      <x:c r="A62" s="128"/>
      <x:c r="B62" s="128"/>
      <x:c r="C62" s="128"/>
      <x:c r="D62" s="128"/>
      <x:c r="E62" s="128"/>
      <x:c r="F62" s="128"/>
      <x:c r="G62" s="128"/>
      <x:c r="H62" s="128"/>
      <x:c r="I62" s="128"/>
      <x:c r="J62" s="128"/>
      <x:c r="K62" s="128"/>
      <x:c r="L62" s="128"/>
      <x:c r="M62" s="128"/>
      <x:c r="N62" s="128"/>
      <x:c r="O62" s="128"/>
      <x:c r="P62" s="128"/>
      <x:c r="Q62" s="128"/>
      <x:c r="R62" s="128"/>
      <x:c r="S62" s="128"/>
      <x:c r="T62" s="128"/>
      <x:c r="U62" s="128"/>
      <x:c r="V62" s="128"/>
    </x:row>
    <x:row r="63">
      <x:c r="A63" s="128"/>
      <x:c r="B63" s="128"/>
      <x:c r="C63" s="128"/>
      <x:c r="D63" s="128"/>
      <x:c r="E63" s="128"/>
      <x:c r="F63" s="128"/>
      <x:c r="G63" s="128"/>
      <x:c r="H63" s="128"/>
      <x:c r="I63" s="128"/>
      <x:c r="J63" s="128"/>
      <x:c r="K63" s="128"/>
      <x:c r="L63" s="128"/>
      <x:c r="M63" s="128"/>
      <x:c r="N63" s="128"/>
      <x:c r="O63" s="128"/>
      <x:c r="P63" s="128"/>
      <x:c r="Q63" s="128"/>
      <x:c r="R63" s="128"/>
      <x:c r="S63" s="128"/>
      <x:c r="T63" s="128"/>
      <x:c r="U63" s="128"/>
      <x:c r="V63" s="128"/>
    </x:row>
    <x:row r="64">
      <x:c r="A64" s="128"/>
      <x:c r="B64" s="128"/>
      <x:c r="C64" s="128"/>
      <x:c r="D64" s="128"/>
      <x:c r="E64" s="128"/>
      <x:c r="F64" s="128"/>
      <x:c r="G64" s="128"/>
      <x:c r="H64" s="128"/>
      <x:c r="I64" s="128"/>
      <x:c r="J64" s="128"/>
      <x:c r="K64" s="128"/>
      <x:c r="L64" s="128"/>
      <x:c r="M64" s="128"/>
      <x:c r="N64" s="128"/>
      <x:c r="O64" s="128"/>
      <x:c r="P64" s="128"/>
      <x:c r="Q64" s="128"/>
      <x:c r="R64" s="128"/>
      <x:c r="S64" s="128"/>
      <x:c r="T64" s="128"/>
      <x:c r="U64" s="128"/>
      <x:c r="V64" s="128"/>
    </x:row>
    <x:row r="65">
      <x:c r="A65" s="128"/>
      <x:c r="B65" s="128"/>
      <x:c r="C65" s="128"/>
      <x:c r="D65" s="128"/>
      <x:c r="E65" s="128"/>
      <x:c r="F65" s="128"/>
      <x:c r="G65" s="128"/>
      <x:c r="H65" s="128"/>
      <x:c r="I65" s="128"/>
      <x:c r="J65" s="128"/>
      <x:c r="K65" s="128"/>
      <x:c r="L65" s="128"/>
      <x:c r="M65" s="128"/>
      <x:c r="N65" s="128"/>
      <x:c r="O65" s="128"/>
      <x:c r="P65" s="128"/>
      <x:c r="Q65" s="128"/>
      <x:c r="R65" s="128"/>
      <x:c r="S65" s="128"/>
      <x:c r="T65" s="128"/>
      <x:c r="U65" s="128"/>
      <x:c r="V65" s="128"/>
    </x:row>
    <x:row r="66">
      <x:c r="A66" s="128"/>
      <x:c r="B66" s="128"/>
      <x:c r="C66" s="128"/>
      <x:c r="D66" s="128"/>
      <x:c r="E66" s="128"/>
      <x:c r="F66" s="128"/>
      <x:c r="G66" s="128"/>
      <x:c r="H66" s="128"/>
      <x:c r="I66" s="128"/>
      <x:c r="J66" s="128"/>
      <x:c r="K66" s="128"/>
      <x:c r="L66" s="128"/>
      <x:c r="M66" s="128"/>
      <x:c r="N66" s="128"/>
      <x:c r="O66" s="128"/>
      <x:c r="P66" s="128"/>
      <x:c r="Q66" s="128"/>
      <x:c r="R66" s="128"/>
      <x:c r="S66" s="128"/>
      <x:c r="T66" s="128"/>
      <x:c r="U66" s="128"/>
      <x:c r="V66" s="128"/>
    </x:row>
    <x:row r="67">
      <x:c r="A67" s="128"/>
      <x:c r="B67" s="128"/>
      <x:c r="C67" s="128"/>
      <x:c r="D67" s="128"/>
      <x:c r="E67" s="128"/>
      <x:c r="F67" s="128"/>
      <x:c r="G67" s="128"/>
      <x:c r="H67" s="128"/>
      <x:c r="I67" s="128"/>
      <x:c r="J67" s="128"/>
      <x:c r="K67" s="128"/>
      <x:c r="L67" s="128"/>
      <x:c r="M67" s="128"/>
      <x:c r="N67" s="128"/>
      <x:c r="O67" s="128"/>
      <x:c r="P67" s="128"/>
      <x:c r="Q67" s="128"/>
      <x:c r="R67" s="128"/>
      <x:c r="S67" s="128"/>
      <x:c r="T67" s="128"/>
      <x:c r="U67" s="128"/>
      <x:c r="V67" s="128"/>
    </x:row>
    <x:row r="68">
      <x:c r="A68" s="128"/>
      <x:c r="B68" s="128"/>
      <x:c r="C68" s="128"/>
      <x:c r="D68" s="128"/>
      <x:c r="E68" s="128"/>
      <x:c r="F68" s="128"/>
      <x:c r="G68" s="128"/>
      <x:c r="H68" s="128"/>
      <x:c r="I68" s="128"/>
      <x:c r="J68" s="128"/>
      <x:c r="K68" s="128"/>
      <x:c r="L68" s="128"/>
      <x:c r="M68" s="128"/>
      <x:c r="N68" s="128"/>
      <x:c r="O68" s="128"/>
      <x:c r="P68" s="128"/>
      <x:c r="Q68" s="128"/>
      <x:c r="R68" s="128"/>
      <x:c r="S68" s="128"/>
      <x:c r="T68" s="128"/>
      <x:c r="U68" s="128"/>
      <x:c r="V68" s="128"/>
    </x:row>
    <x:row r="69">
      <x:c r="A69" s="128"/>
      <x:c r="B69" s="128"/>
      <x:c r="C69" s="128"/>
      <x:c r="D69" s="128"/>
      <x:c r="E69" s="128"/>
      <x:c r="F69" s="128"/>
      <x:c r="G69" s="128"/>
      <x:c r="H69" s="128"/>
      <x:c r="I69" s="128"/>
      <x:c r="J69" s="128"/>
      <x:c r="K69" s="128"/>
      <x:c r="L69" s="128"/>
      <x:c r="M69" s="128"/>
      <x:c r="N69" s="128"/>
      <x:c r="O69" s="128"/>
      <x:c r="P69" s="128"/>
      <x:c r="Q69" s="128"/>
      <x:c r="R69" s="128"/>
      <x:c r="S69" s="128"/>
      <x:c r="T69" s="128"/>
      <x:c r="U69" s="128"/>
      <x:c r="V69" s="128"/>
    </x:row>
    <x:row r="70">
      <x:c r="A70" s="128"/>
      <x:c r="B70" s="128"/>
      <x:c r="C70" s="128"/>
      <x:c r="D70" s="128"/>
      <x:c r="E70" s="128"/>
      <x:c r="F70" s="128"/>
      <x:c r="G70" s="128"/>
      <x:c r="H70" s="128"/>
      <x:c r="I70" s="128"/>
      <x:c r="J70" s="128"/>
      <x:c r="K70" s="128"/>
      <x:c r="L70" s="128"/>
      <x:c r="M70" s="128"/>
      <x:c r="N70" s="128"/>
      <x:c r="O70" s="128"/>
      <x:c r="P70" s="128"/>
      <x:c r="Q70" s="128"/>
      <x:c r="R70" s="128"/>
      <x:c r="S70" s="128"/>
      <x:c r="T70" s="128"/>
      <x:c r="U70" s="128"/>
      <x:c r="V70" s="128"/>
    </x:row>
    <x:row r="71">
      <x:c r="A71" s="128"/>
      <x:c r="B71" s="128"/>
      <x:c r="C71" s="128"/>
      <x:c r="D71" s="128"/>
      <x:c r="E71" s="128"/>
      <x:c r="F71" s="128"/>
      <x:c r="G71" s="128"/>
      <x:c r="H71" s="128"/>
      <x:c r="I71" s="128"/>
      <x:c r="J71" s="128"/>
      <x:c r="K71" s="128"/>
      <x:c r="L71" s="128"/>
      <x:c r="M71" s="128"/>
      <x:c r="N71" s="128"/>
      <x:c r="O71" s="128"/>
      <x:c r="P71" s="128"/>
      <x:c r="Q71" s="128"/>
      <x:c r="R71" s="128"/>
      <x:c r="S71" s="128"/>
      <x:c r="T71" s="128"/>
      <x:c r="U71" s="128"/>
      <x:c r="V71" s="128"/>
    </x:row>
    <x:row r="72">
      <x:c r="A72" s="128"/>
      <x:c r="B72" s="128"/>
      <x:c r="C72" s="128"/>
      <x:c r="D72" s="128"/>
      <x:c r="E72" s="128"/>
      <x:c r="F72" s="128"/>
      <x:c r="G72" s="128"/>
      <x:c r="H72" s="128"/>
      <x:c r="I72" s="128"/>
      <x:c r="J72" s="128"/>
      <x:c r="K72" s="128"/>
      <x:c r="L72" s="128"/>
      <x:c r="M72" s="128"/>
      <x:c r="N72" s="128"/>
      <x:c r="O72" s="128"/>
      <x:c r="P72" s="128"/>
      <x:c r="Q72" s="128"/>
      <x:c r="R72" s="128"/>
      <x:c r="S72" s="128"/>
      <x:c r="T72" s="128"/>
      <x:c r="U72" s="128"/>
      <x:c r="V72" s="128"/>
    </x:row>
    <x:row r="73">
      <x:c r="A73" s="128"/>
      <x:c r="B73" s="128"/>
      <x:c r="C73" s="128"/>
      <x:c r="D73" s="128"/>
      <x:c r="E73" s="128"/>
      <x:c r="F73" s="128"/>
      <x:c r="G73" s="128"/>
      <x:c r="H73" s="128"/>
      <x:c r="I73" s="128"/>
      <x:c r="J73" s="128"/>
      <x:c r="K73" s="128"/>
      <x:c r="L73" s="128"/>
      <x:c r="M73" s="128"/>
      <x:c r="N73" s="128"/>
      <x:c r="O73" s="128"/>
      <x:c r="P73" s="128"/>
      <x:c r="Q73" s="128"/>
      <x:c r="R73" s="128"/>
      <x:c r="S73" s="128"/>
      <x:c r="T73" s="128"/>
      <x:c r="U73" s="128"/>
      <x:c r="V73" s="128"/>
    </x:row>
    <x:row r="74">
      <x:c r="A74" s="128"/>
      <x:c r="B74" s="128"/>
      <x:c r="C74" s="128"/>
      <x:c r="D74" s="128"/>
      <x:c r="E74" s="128"/>
      <x:c r="F74" s="128"/>
      <x:c r="G74" s="128"/>
      <x:c r="H74" s="128"/>
      <x:c r="I74" s="128"/>
      <x:c r="J74" s="128"/>
      <x:c r="K74" s="128"/>
      <x:c r="L74" s="128"/>
      <x:c r="M74" s="128"/>
      <x:c r="N74" s="128"/>
      <x:c r="O74" s="128"/>
      <x:c r="P74" s="128"/>
      <x:c r="Q74" s="128"/>
      <x:c r="R74" s="128"/>
      <x:c r="S74" s="128"/>
      <x:c r="T74" s="128"/>
      <x:c r="U74" s="128"/>
      <x:c r="V74" s="128"/>
    </x:row>
    <x:row r="75">
      <x:c r="A75" s="128"/>
      <x:c r="B75" s="128"/>
      <x:c r="C75" s="128"/>
      <x:c r="D75" s="128"/>
      <x:c r="E75" s="128"/>
      <x:c r="F75" s="128"/>
      <x:c r="G75" s="128"/>
      <x:c r="H75" s="128"/>
      <x:c r="I75" s="128"/>
      <x:c r="J75" s="128"/>
      <x:c r="K75" s="128"/>
      <x:c r="L75" s="128"/>
      <x:c r="M75" s="128"/>
      <x:c r="N75" s="128"/>
      <x:c r="O75" s="128"/>
      <x:c r="P75" s="128"/>
      <x:c r="Q75" s="128"/>
      <x:c r="R75" s="128"/>
      <x:c r="S75" s="128"/>
      <x:c r="T75" s="128"/>
      <x:c r="U75" s="128"/>
      <x:c r="V75" s="128"/>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6" hidden="0" customWidth="1"/>
    <x:col min="2" max="2" width="14" hidden="0" customWidth="1"/>
    <x:col min="3" max="3" width="32" hidden="0" customWidth="1"/>
    <x:col min="4" max="4" width="70" hidden="0" customWidth="1"/>
    <x:col min="5" max="5" width="14" hidden="0" customWidth="1"/>
    <x:col min="6" max="6" width="14" hidden="0" customWidth="1"/>
    <x:col min="7" max="7" width="14" hidden="0" customWidth="1"/>
    <x:col min="8" max="8" width="65"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s>
  <x:sheetData>
    <x:row r="1">
      <x:c r="A1" s="129" t="str">
        <x:v>Excel and source review</x:v>
      </x:c>
      <x:c r="B1" s="128"/>
      <x:c r="C1" s="128"/>
      <x:c r="D1" s="128"/>
      <x:c r="E1" s="128"/>
      <x:c r="F1" s="128"/>
      <x:c r="G1" s="128"/>
      <x:c r="H1" s="128"/>
      <x:c r="I1" s="128"/>
      <x:c r="J1" s="128"/>
      <x:c r="K1" s="128"/>
      <x:c r="L1" s="128"/>
      <x:c r="M1" s="128"/>
      <x:c r="N1" s="128"/>
      <x:c r="O1" s="128"/>
      <x:c r="P1" s="128"/>
      <x:c r="Q1" s="128"/>
      <x:c r="R1" s="128"/>
      <x:c r="S1" s="128"/>
      <x:c r="T1" s="128"/>
      <x:c r="U1" s="128"/>
      <x:c r="V1" s="128"/>
    </x:row>
    <x:row r="2" ht="32" customHeight="1">
      <x:c r="A2" s="128" t="str">
        <x:v>Leave evidence fields blank until the actual check is performed. Linux export does not establish Excel behavior.</x:v>
      </x:c>
      <x:c r="B2" s="128"/>
      <x:c r="C2" s="128"/>
      <x:c r="D2" s="128"/>
      <x:c r="E2" s="128"/>
      <x:c r="F2" s="128"/>
      <x:c r="G2" s="128"/>
      <x:c r="H2" s="128"/>
      <x:c r="I2" s="128"/>
      <x:c r="J2" s="128"/>
      <x:c r="K2" s="128"/>
      <x:c r="L2" s="128"/>
      <x:c r="M2" s="128"/>
      <x:c r="N2" s="128"/>
      <x:c r="O2" s="128"/>
      <x:c r="P2" s="128"/>
      <x:c r="Q2" s="128"/>
      <x:c r="R2" s="128"/>
      <x:c r="S2" s="128"/>
      <x:c r="T2" s="128"/>
      <x:c r="U2" s="128"/>
      <x:c r="V2" s="128"/>
    </x:row>
    <x:row r="3">
      <x:c r="A3" s="128"/>
      <x:c r="B3" s="128"/>
      <x:c r="C3" s="128"/>
      <x:c r="D3" s="128"/>
      <x:c r="E3" s="128"/>
      <x:c r="F3" s="128"/>
      <x:c r="G3" s="128"/>
      <x:c r="H3" s="128"/>
      <x:c r="I3" s="128"/>
      <x:c r="J3" s="128"/>
      <x:c r="K3" s="128"/>
      <x:c r="L3" s="128"/>
      <x:c r="M3" s="128"/>
      <x:c r="N3" s="128"/>
      <x:c r="O3" s="128"/>
      <x:c r="P3" s="128"/>
      <x:c r="Q3" s="128"/>
      <x:c r="R3" s="128"/>
      <x:c r="S3" s="128"/>
      <x:c r="T3" s="128"/>
      <x:c r="U3" s="128"/>
      <x:c r="V3" s="128"/>
    </x:row>
    <x:row r="4" ht="36" customHeight="1">
      <x:c r="A4" s="132" t="str">
        <x:v>Required check</x:v>
      </x:c>
      <x:c r="B4" s="132" t="str">
        <x:v>Status</x:v>
      </x:c>
      <x:c r="C4" s="132" t="str">
        <x:v>Evidence / result</x:v>
      </x:c>
      <x:c r="D4" s="132" t="str">
        <x:v>Next action</x:v>
      </x:c>
      <x:c r="E4" s="128"/>
      <x:c r="F4" s="128"/>
      <x:c r="G4" s="128"/>
      <x:c r="H4" s="128"/>
      <x:c r="I4" s="128"/>
      <x:c r="J4" s="128"/>
      <x:c r="K4" s="128"/>
      <x:c r="L4" s="128"/>
      <x:c r="M4" s="128"/>
      <x:c r="N4" s="128"/>
      <x:c r="O4" s="128"/>
      <x:c r="P4" s="128"/>
      <x:c r="Q4" s="128"/>
      <x:c r="R4" s="128"/>
      <x:c r="S4" s="128"/>
      <x:c r="T4" s="128"/>
      <x:c r="U4" s="128"/>
      <x:c r="V4" s="128"/>
    </x:row>
    <x:row r="5" ht="44" customHeight="1">
      <x:c r="A5" s="149" t="str">
        <x:v>Open in Microsoft Excel for Mac</x:v>
      </x:c>
      <x:c r="B5" s="149" t="str">
        <x:v>Pending</x:v>
      </x:c>
      <x:c r="C5" s="149" t="str"/>
      <x:c r="D5" s="149" t="str">
        <x:v>Recalculate All; test dropdown, formatting and charts</x:v>
      </x:c>
      <x:c r="E5" s="128"/>
      <x:c r="F5" s="128"/>
      <x:c r="G5" s="128"/>
      <x:c r="H5" s="128"/>
      <x:c r="I5" s="128"/>
      <x:c r="J5" s="128"/>
      <x:c r="K5" s="128"/>
      <x:c r="L5" s="128"/>
      <x:c r="M5" s="128"/>
      <x:c r="N5" s="128"/>
      <x:c r="O5" s="128"/>
      <x:c r="P5" s="128"/>
      <x:c r="Q5" s="128"/>
      <x:c r="R5" s="128"/>
      <x:c r="S5" s="128"/>
      <x:c r="T5" s="128"/>
      <x:c r="U5" s="128"/>
      <x:c r="V5" s="128"/>
    </x:row>
    <x:row r="6" ht="44" customHeight="1">
      <x:c r="A6" s="149" t="str">
        <x:v>BTC x net mNAV Data Table</x:v>
      </x:c>
      <x:c r="B6" s="149" t="str">
        <x:v>Pending</x:v>
      </x:c>
      <x:c r="C6" s="149" t="str"/>
      <x:c r="D6" s="149" t="str">
        <x:v>Change B5/B6 on Native sensitivity; verify base and 0.8x gate</x:v>
      </x:c>
      <x:c r="E6" s="128"/>
      <x:c r="F6" s="128"/>
      <x:c r="G6" s="128"/>
      <x:c r="H6" s="128"/>
      <x:c r="I6" s="128"/>
      <x:c r="J6" s="128"/>
      <x:c r="K6" s="128"/>
      <x:c r="L6" s="128"/>
      <x:c r="M6" s="128"/>
      <x:c r="N6" s="128"/>
      <x:c r="O6" s="128"/>
      <x:c r="P6" s="128"/>
      <x:c r="Q6" s="128"/>
      <x:c r="R6" s="128"/>
      <x:c r="S6" s="128"/>
      <x:c r="T6" s="128"/>
      <x:c r="U6" s="128"/>
      <x:c r="V6" s="128"/>
    </x:row>
    <x:row r="7" ht="44" customHeight="1">
      <x:c r="A7" s="149" t="str">
        <x:v>STRC x EUR/USD Data Table</x:v>
      </x:c>
      <x:c r="B7" s="149" t="str">
        <x:v>Pending</x:v>
      </x:c>
      <x:c r="C7" s="149" t="str"/>
      <x:c r="D7" s="149" t="str">
        <x:v>Change B7/B8; verify 12% x 1.10 vs manual input</x:v>
      </x:c>
      <x:c r="E7" s="128"/>
      <x:c r="F7" s="128"/>
      <x:c r="G7" s="128"/>
      <x:c r="H7" s="128"/>
      <x:c r="I7" s="128"/>
      <x:c r="J7" s="128"/>
      <x:c r="K7" s="128"/>
      <x:c r="L7" s="128"/>
      <x:c r="M7" s="128"/>
      <x:c r="N7" s="128"/>
      <x:c r="O7" s="128"/>
      <x:c r="P7" s="128"/>
      <x:c r="Q7" s="128"/>
      <x:c r="R7" s="128"/>
      <x:c r="S7" s="128"/>
      <x:c r="T7" s="128"/>
      <x:c r="U7" s="128"/>
      <x:c r="V7" s="128"/>
    </x:row>
    <x:row r="8" ht="44" customHeight="1">
      <x:c r="A8" s="149" t="str">
        <x:v>Goal Seek native run</x:v>
      </x:c>
      <x:c r="B8" s="149" t="str">
        <x:v>Pending</x:v>
      </x:c>
      <x:c r="C8" s="149" t="str"/>
      <x:c r="D8" s="149" t="str">
        <x:v>Set Coverage G10 to 1 by changing Inputs BTC spot; record before / after</x:v>
      </x:c>
      <x:c r="E8" s="128"/>
      <x:c r="F8" s="128"/>
      <x:c r="G8" s="128"/>
      <x:c r="H8" s="128"/>
      <x:c r="I8" s="128"/>
      <x:c r="J8" s="128"/>
      <x:c r="K8" s="128"/>
      <x:c r="L8" s="128"/>
      <x:c r="M8" s="128"/>
      <x:c r="N8" s="128"/>
      <x:c r="O8" s="128"/>
      <x:c r="P8" s="128"/>
      <x:c r="Q8" s="128"/>
      <x:c r="R8" s="128"/>
      <x:c r="S8" s="128"/>
      <x:c r="T8" s="128"/>
      <x:c r="U8" s="128"/>
      <x:c r="V8" s="128"/>
    </x:row>
    <x:row r="9" ht="44" customHeight="1">
      <x:c r="A9" s="149" t="str">
        <x:v>Q3 source refresh</x:v>
      </x:c>
      <x:c r="B9" s="149" t="str">
        <x:v>Pending</x:v>
      </x:c>
      <x:c r="C9" s="149" t="str"/>
      <x:c r="D9" s="149" t="str">
        <x:v>Replace counts and awards after Q3 10-Q is released</x:v>
      </x:c>
      <x:c r="E9" s="128"/>
      <x:c r="F9" s="128"/>
      <x:c r="G9" s="128"/>
      <x:c r="H9" s="128"/>
      <x:c r="I9" s="128"/>
      <x:c r="J9" s="128"/>
      <x:c r="K9" s="128"/>
      <x:c r="L9" s="128"/>
      <x:c r="M9" s="128"/>
      <x:c r="N9" s="128"/>
      <x:c r="O9" s="128"/>
      <x:c r="P9" s="128"/>
      <x:c r="Q9" s="128"/>
      <x:c r="R9" s="128"/>
      <x:c r="S9" s="128"/>
      <x:c r="T9" s="128"/>
      <x:c r="U9" s="128"/>
      <x:c r="V9" s="128"/>
    </x:row>
    <x:row r="10" ht="44" customHeight="1">
      <x:c r="A10" s="149" t="str">
        <x:v>Human reader test</x:v>
      </x:c>
      <x:c r="B10" s="149" t="str">
        <x:v>Pending</x:v>
      </x:c>
      <x:c r="C10" s="149" t="str"/>
      <x:c r="D10" s="149" t="str">
        <x:v>Rahil volunteered; use docs/reader-test.md</x:v>
      </x:c>
      <x:c r="E10" s="128"/>
      <x:c r="F10" s="128"/>
      <x:c r="G10" s="128"/>
      <x:c r="H10" s="128"/>
      <x:c r="I10" s="128"/>
      <x:c r="J10" s="128"/>
      <x:c r="K10" s="128"/>
      <x:c r="L10" s="128"/>
      <x:c r="M10" s="128"/>
      <x:c r="N10" s="128"/>
      <x:c r="O10" s="128"/>
      <x:c r="P10" s="128"/>
      <x:c r="Q10" s="128"/>
      <x:c r="R10" s="128"/>
      <x:c r="S10" s="128"/>
      <x:c r="T10" s="128"/>
      <x:c r="U10" s="128"/>
      <x:c r="V10" s="128"/>
    </x:row>
    <x:row r="11">
      <x:c r="A11" s="128"/>
      <x:c r="B11" s="128"/>
      <x:c r="C11" s="128"/>
      <x:c r="D11" s="128"/>
      <x:c r="E11" s="128"/>
      <x:c r="F11" s="128"/>
      <x:c r="G11" s="128"/>
      <x:c r="H11" s="128"/>
      <x:c r="I11" s="128"/>
      <x:c r="J11" s="128"/>
      <x:c r="K11" s="128"/>
      <x:c r="L11" s="128"/>
      <x:c r="M11" s="128"/>
      <x:c r="N11" s="128"/>
      <x:c r="O11" s="128"/>
      <x:c r="P11" s="128"/>
      <x:c r="Q11" s="128"/>
      <x:c r="R11" s="128"/>
      <x:c r="S11" s="128"/>
      <x:c r="T11" s="128"/>
      <x:c r="U11" s="128"/>
      <x:c r="V11" s="128"/>
    </x:row>
    <x:row r="12">
      <x:c r="A12" s="128"/>
      <x:c r="B12" s="128"/>
      <x:c r="C12" s="128"/>
      <x:c r="D12" s="128"/>
      <x:c r="E12" s="128"/>
      <x:c r="F12" s="128"/>
      <x:c r="G12" s="128"/>
      <x:c r="H12" s="128"/>
      <x:c r="I12" s="128"/>
      <x:c r="J12" s="128"/>
      <x:c r="K12" s="128"/>
      <x:c r="L12" s="128"/>
      <x:c r="M12" s="128"/>
      <x:c r="N12" s="128"/>
      <x:c r="O12" s="128"/>
      <x:c r="P12" s="128"/>
      <x:c r="Q12" s="128"/>
      <x:c r="R12" s="128"/>
      <x:c r="S12" s="128"/>
      <x:c r="T12" s="128"/>
      <x:c r="U12" s="128"/>
      <x:c r="V12" s="128"/>
    </x:row>
    <x:row r="13">
      <x:c r="A13" s="128" t="str">
        <x:v>Goal Seek exercise (native execution pending)</x:v>
      </x:c>
      <x:c r="B13" s="128"/>
      <x:c r="C13" s="128"/>
      <x:c r="D13" s="128"/>
      <x:c r="E13" s="128"/>
      <x:c r="F13" s="128"/>
      <x:c r="G13" s="128"/>
      <x:c r="H13" s="128"/>
      <x:c r="I13" s="128"/>
      <x:c r="J13" s="128"/>
      <x:c r="K13" s="128"/>
      <x:c r="L13" s="128"/>
      <x:c r="M13" s="128"/>
      <x:c r="N13" s="128"/>
      <x:c r="O13" s="128"/>
      <x:c r="P13" s="128"/>
      <x:c r="Q13" s="128"/>
      <x:c r="R13" s="128"/>
      <x:c r="S13" s="128"/>
      <x:c r="T13" s="128"/>
      <x:c r="U13" s="128"/>
      <x:c r="V13" s="128"/>
    </x:row>
    <x:row r="14">
      <x:c r="A14" s="128" t="str">
        <x:v>Set cell</x:v>
      </x:c>
      <x:c r="B14" s="128" t="str">
        <x:v>Coverage!G10</x:v>
      </x:c>
      <x:c r="C14" s="128"/>
      <x:c r="D14" s="128"/>
      <x:c r="E14" s="128"/>
      <x:c r="F14" s="128"/>
      <x:c r="G14" s="128"/>
      <x:c r="H14" s="128"/>
      <x:c r="I14" s="128"/>
      <x:c r="J14" s="128"/>
      <x:c r="K14" s="128"/>
      <x:c r="L14" s="128"/>
      <x:c r="M14" s="128"/>
      <x:c r="N14" s="128"/>
      <x:c r="O14" s="128"/>
      <x:c r="P14" s="128"/>
      <x:c r="Q14" s="128"/>
      <x:c r="R14" s="128"/>
      <x:c r="S14" s="128"/>
      <x:c r="T14" s="128"/>
      <x:c r="U14" s="128"/>
      <x:c r="V14" s="128"/>
    </x:row>
    <x:row r="15">
      <x:c r="A15" s="128" t="str">
        <x:v>Target</x:v>
      </x:c>
      <x:c r="B15" s="133" t="n">
        <x:v>1</x:v>
      </x:c>
      <x:c r="C15" s="128"/>
      <x:c r="D15" s="128"/>
      <x:c r="E15" s="128"/>
      <x:c r="F15" s="128"/>
      <x:c r="G15" s="128"/>
      <x:c r="H15" s="128"/>
      <x:c r="I15" s="128"/>
      <x:c r="J15" s="128"/>
      <x:c r="K15" s="128"/>
      <x:c r="L15" s="128"/>
      <x:c r="M15" s="128"/>
      <x:c r="N15" s="128"/>
      <x:c r="O15" s="128"/>
      <x:c r="P15" s="128"/>
      <x:c r="Q15" s="128"/>
      <x:c r="R15" s="128"/>
      <x:c r="S15" s="128"/>
      <x:c r="T15" s="128"/>
      <x:c r="U15" s="128"/>
      <x:c r="V15" s="128"/>
    </x:row>
    <x:row r="16">
      <x:c r="A16" s="128" t="str">
        <x:v>Changing cell</x:v>
      </x:c>
      <x:c r="B16" s="128" t="str">
        <x:v>'Inputs'!$B$8</x:v>
      </x:c>
      <x:c r="C16" s="128"/>
      <x:c r="D16" s="128"/>
      <x:c r="E16" s="128"/>
      <x:c r="F16" s="128"/>
      <x:c r="G16" s="128"/>
      <x:c r="H16" s="128"/>
      <x:c r="I16" s="128"/>
      <x:c r="J16" s="128"/>
      <x:c r="K16" s="128"/>
      <x:c r="L16" s="128"/>
      <x:c r="M16" s="128"/>
      <x:c r="N16" s="128"/>
      <x:c r="O16" s="128"/>
      <x:c r="P16" s="128"/>
      <x:c r="Q16" s="128"/>
      <x:c r="R16" s="128"/>
      <x:c r="S16" s="128"/>
      <x:c r="T16" s="128"/>
      <x:c r="U16" s="128"/>
      <x:c r="V16" s="128"/>
    </x:row>
    <x:row r="17">
      <x:c r="A17" s="128" t="str">
        <x:v>Analytical expected price</x:v>
      </x:c>
      <x:c r="B17" s="128" t="n">
        <x:f>BE_BTC_1x</x:f>
        <x:v>24170.60548187444</x:v>
      </x:c>
      <x:c r="C17" s="128"/>
      <x:c r="D17" s="128"/>
      <x:c r="E17" s="128"/>
      <x:c r="F17" s="128"/>
      <x:c r="G17" s="128"/>
      <x:c r="H17" s="128"/>
      <x:c r="I17" s="128"/>
      <x:c r="J17" s="128"/>
      <x:c r="K17" s="128"/>
      <x:c r="L17" s="128"/>
      <x:c r="M17" s="128"/>
      <x:c r="N17" s="128"/>
      <x:c r="O17" s="128"/>
      <x:c r="P17" s="128"/>
      <x:c r="Q17" s="128"/>
      <x:c r="R17" s="128"/>
      <x:c r="S17" s="128"/>
      <x:c r="T17" s="128"/>
      <x:c r="U17" s="128"/>
      <x:c r="V17" s="128"/>
    </x:row>
    <x:row r="18">
      <x:c r="A18" s="128" t="str">
        <x:v>Recorded Excel result</x:v>
      </x:c>
      <x:c r="B18" s="128"/>
      <x:c r="C18" s="128"/>
      <x:c r="D18" s="128"/>
      <x:c r="E18" s="128"/>
      <x:c r="F18" s="128"/>
      <x:c r="G18" s="128"/>
      <x:c r="H18" s="128"/>
      <x:c r="I18" s="128"/>
      <x:c r="J18" s="128"/>
      <x:c r="K18" s="128"/>
      <x:c r="L18" s="128"/>
      <x:c r="M18" s="128"/>
      <x:c r="N18" s="128"/>
      <x:c r="O18" s="128"/>
      <x:c r="P18" s="128"/>
      <x:c r="Q18" s="128"/>
      <x:c r="R18" s="128"/>
      <x:c r="S18" s="128"/>
      <x:c r="T18" s="128"/>
      <x:c r="U18" s="128"/>
      <x:c r="V18" s="128"/>
    </x:row>
    <x:row r="19">
      <x:c r="A19" s="128" t="str">
        <x:v>Date and Excel version</x:v>
      </x:c>
      <x:c r="B19" s="128"/>
      <x:c r="C19" s="128"/>
      <x:c r="D19" s="128"/>
      <x:c r="E19" s="128"/>
      <x:c r="F19" s="128"/>
      <x:c r="G19" s="128"/>
      <x:c r="H19" s="128"/>
      <x:c r="I19" s="128"/>
      <x:c r="J19" s="128"/>
      <x:c r="K19" s="128"/>
      <x:c r="L19" s="128"/>
      <x:c r="M19" s="128"/>
      <x:c r="N19" s="128"/>
      <x:c r="O19" s="128"/>
      <x:c r="P19" s="128"/>
      <x:c r="Q19" s="128"/>
      <x:c r="R19" s="128"/>
      <x:c r="S19" s="128"/>
      <x:c r="T19" s="128"/>
      <x:c r="U19" s="128"/>
      <x:c r="V19" s="128"/>
    </x:row>
    <x:row r="20">
      <x:c r="A20" s="128" t="str">
        <x:v>Restore original BTC spot after run. G10 is gross BTC value / senior claims, not liquidity coverage. Use Base and restore the original price. Verify address before execution.</x:v>
      </x:c>
      <x:c r="B20" s="128"/>
      <x:c r="C20" s="128"/>
      <x:c r="D20" s="128"/>
      <x:c r="E20" s="128"/>
      <x:c r="F20" s="128"/>
      <x:c r="G20" s="128"/>
      <x:c r="H20" s="128"/>
      <x:c r="I20" s="128"/>
      <x:c r="J20" s="128"/>
      <x:c r="K20" s="128"/>
      <x:c r="L20" s="128"/>
      <x:c r="M20" s="128"/>
      <x:c r="N20" s="128"/>
      <x:c r="O20" s="128"/>
      <x:c r="P20" s="128"/>
      <x:c r="Q20" s="128"/>
      <x:c r="R20" s="128"/>
      <x:c r="S20" s="128"/>
      <x:c r="T20" s="128"/>
      <x:c r="U20" s="128"/>
      <x:c r="V20" s="128"/>
    </x:row>
    <x:row r="21">
      <x:c r="A21" s="128"/>
      <x:c r="B21" s="128"/>
      <x:c r="C21" s="128"/>
      <x:c r="D21" s="128"/>
      <x:c r="E21" s="128"/>
      <x:c r="F21" s="128"/>
      <x:c r="G21" s="128"/>
      <x:c r="H21" s="128"/>
      <x:c r="I21" s="128"/>
      <x:c r="J21" s="128"/>
      <x:c r="K21" s="128"/>
      <x:c r="L21" s="128"/>
      <x:c r="M21" s="128"/>
      <x:c r="N21" s="128"/>
      <x:c r="O21" s="128"/>
      <x:c r="P21" s="128"/>
      <x:c r="Q21" s="128"/>
      <x:c r="R21" s="128"/>
      <x:c r="S21" s="128"/>
      <x:c r="T21" s="128"/>
      <x:c r="U21" s="128"/>
      <x:c r="V21" s="128"/>
    </x:row>
    <x:row r="22">
      <x:c r="A22" s="128"/>
      <x:c r="B22" s="128"/>
      <x:c r="C22" s="128"/>
      <x:c r="D22" s="128"/>
      <x:c r="E22" s="128"/>
      <x:c r="F22" s="128"/>
      <x:c r="G22" s="128"/>
      <x:c r="H22" s="128"/>
      <x:c r="I22" s="128"/>
      <x:c r="J22" s="128"/>
      <x:c r="K22" s="128"/>
      <x:c r="L22" s="128"/>
      <x:c r="M22" s="128"/>
      <x:c r="N22" s="128"/>
      <x:c r="O22" s="128"/>
      <x:c r="P22" s="128"/>
      <x:c r="Q22" s="128"/>
      <x:c r="R22" s="128"/>
      <x:c r="S22" s="128"/>
      <x:c r="T22" s="128"/>
      <x:c r="U22" s="128"/>
      <x:c r="V22" s="128"/>
    </x:row>
    <x:row r="23">
      <x:c r="A23" s="128"/>
      <x:c r="B23" s="128"/>
      <x:c r="C23" s="128"/>
      <x:c r="D23" s="128"/>
      <x:c r="E23" s="128"/>
      <x:c r="F23" s="128"/>
      <x:c r="G23" s="128"/>
      <x:c r="H23" s="128"/>
      <x:c r="I23" s="128"/>
      <x:c r="J23" s="128"/>
      <x:c r="K23" s="128"/>
      <x:c r="L23" s="128"/>
      <x:c r="M23" s="128"/>
      <x:c r="N23" s="128"/>
      <x:c r="O23" s="128"/>
      <x:c r="P23" s="128"/>
      <x:c r="Q23" s="128"/>
      <x:c r="R23" s="128"/>
      <x:c r="S23" s="128"/>
      <x:c r="T23" s="128"/>
      <x:c r="U23" s="128"/>
      <x:c r="V23" s="128"/>
    </x:row>
    <x:row r="24">
      <x:c r="A24" s="128"/>
      <x:c r="B24" s="128"/>
      <x:c r="C24" s="128"/>
      <x:c r="D24" s="128"/>
      <x:c r="E24" s="128"/>
      <x:c r="F24" s="128"/>
      <x:c r="G24" s="128"/>
      <x:c r="H24" s="128"/>
      <x:c r="I24" s="128"/>
      <x:c r="J24" s="128"/>
      <x:c r="K24" s="128"/>
      <x:c r="L24" s="128"/>
      <x:c r="M24" s="128"/>
      <x:c r="N24" s="128"/>
      <x:c r="O24" s="128"/>
      <x:c r="P24" s="128"/>
      <x:c r="Q24" s="128"/>
      <x:c r="R24" s="128"/>
      <x:c r="S24" s="128"/>
      <x:c r="T24" s="128"/>
      <x:c r="U24" s="128"/>
      <x:c r="V24" s="128"/>
    </x:row>
    <x:row r="25">
      <x:c r="A25" s="128"/>
      <x:c r="B25" s="128"/>
      <x:c r="C25" s="128"/>
      <x:c r="D25" s="128"/>
      <x:c r="E25" s="128"/>
      <x:c r="F25" s="128"/>
      <x:c r="G25" s="128"/>
      <x:c r="H25" s="128"/>
      <x:c r="I25" s="128"/>
      <x:c r="J25" s="128"/>
      <x:c r="K25" s="128"/>
      <x:c r="L25" s="128"/>
      <x:c r="M25" s="128"/>
      <x:c r="N25" s="128"/>
      <x:c r="O25" s="128"/>
      <x:c r="P25" s="128"/>
      <x:c r="Q25" s="128"/>
      <x:c r="R25" s="128"/>
      <x:c r="S25" s="128"/>
      <x:c r="T25" s="128"/>
      <x:c r="U25" s="128"/>
      <x:c r="V25" s="128"/>
    </x:row>
    <x:row r="26">
      <x:c r="A26" s="128"/>
      <x:c r="B26" s="128"/>
      <x:c r="C26" s="128"/>
      <x:c r="D26" s="128"/>
      <x:c r="E26" s="128"/>
      <x:c r="F26" s="128"/>
      <x:c r="G26" s="128"/>
      <x:c r="H26" s="128"/>
      <x:c r="I26" s="128"/>
      <x:c r="J26" s="128"/>
      <x:c r="K26" s="128"/>
      <x:c r="L26" s="128"/>
      <x:c r="M26" s="128"/>
      <x:c r="N26" s="128"/>
      <x:c r="O26" s="128"/>
      <x:c r="P26" s="128"/>
      <x:c r="Q26" s="128"/>
      <x:c r="R26" s="128"/>
      <x:c r="S26" s="128"/>
      <x:c r="T26" s="128"/>
      <x:c r="U26" s="128"/>
      <x:c r="V26" s="128"/>
    </x:row>
    <x:row r="27">
      <x:c r="A27" s="128"/>
      <x:c r="B27" s="128"/>
      <x:c r="C27" s="128"/>
      <x:c r="D27" s="128"/>
      <x:c r="E27" s="128"/>
      <x:c r="F27" s="128"/>
      <x:c r="G27" s="128"/>
      <x:c r="H27" s="128"/>
      <x:c r="I27" s="128"/>
      <x:c r="J27" s="128"/>
      <x:c r="K27" s="128"/>
      <x:c r="L27" s="128"/>
      <x:c r="M27" s="128"/>
      <x:c r="N27" s="128"/>
      <x:c r="O27" s="128"/>
      <x:c r="P27" s="128"/>
      <x:c r="Q27" s="128"/>
      <x:c r="R27" s="128"/>
      <x:c r="S27" s="128"/>
      <x:c r="T27" s="128"/>
      <x:c r="U27" s="128"/>
      <x:c r="V27" s="128"/>
    </x:row>
    <x:row r="28">
      <x:c r="A28" s="128"/>
      <x:c r="B28" s="128"/>
      <x:c r="C28" s="128"/>
      <x:c r="D28" s="128"/>
      <x:c r="E28" s="128"/>
      <x:c r="F28" s="128"/>
      <x:c r="G28" s="128"/>
      <x:c r="H28" s="128"/>
      <x:c r="I28" s="128"/>
      <x:c r="J28" s="128"/>
      <x:c r="K28" s="128"/>
      <x:c r="L28" s="128"/>
      <x:c r="M28" s="128"/>
      <x:c r="N28" s="128"/>
      <x:c r="O28" s="128"/>
      <x:c r="P28" s="128"/>
      <x:c r="Q28" s="128"/>
      <x:c r="R28" s="128"/>
      <x:c r="S28" s="128"/>
      <x:c r="T28" s="128"/>
      <x:c r="U28" s="128"/>
      <x:c r="V28" s="128"/>
    </x:row>
    <x:row r="29">
      <x:c r="A29" s="128"/>
      <x:c r="B29" s="128"/>
      <x:c r="C29" s="128"/>
      <x:c r="D29" s="128"/>
      <x:c r="E29" s="128"/>
      <x:c r="F29" s="128"/>
      <x:c r="G29" s="128"/>
      <x:c r="H29" s="128"/>
      <x:c r="I29" s="128"/>
      <x:c r="J29" s="128"/>
      <x:c r="K29" s="128"/>
      <x:c r="L29" s="128"/>
      <x:c r="M29" s="128"/>
      <x:c r="N29" s="128"/>
      <x:c r="O29" s="128"/>
      <x:c r="P29" s="128"/>
      <x:c r="Q29" s="128"/>
      <x:c r="R29" s="128"/>
      <x:c r="S29" s="128"/>
      <x:c r="T29" s="128"/>
      <x:c r="U29" s="128"/>
      <x:c r="V29" s="128"/>
    </x:row>
    <x:row r="30">
      <x:c r="A30" s="128"/>
      <x:c r="B30" s="128"/>
      <x:c r="C30" s="128"/>
      <x:c r="D30" s="128"/>
      <x:c r="E30" s="128"/>
      <x:c r="F30" s="128"/>
      <x:c r="G30" s="128"/>
      <x:c r="H30" s="128"/>
      <x:c r="I30" s="128"/>
      <x:c r="J30" s="128"/>
      <x:c r="K30" s="128"/>
      <x:c r="L30" s="128"/>
      <x:c r="M30" s="128"/>
      <x:c r="N30" s="128"/>
      <x:c r="O30" s="128"/>
      <x:c r="P30" s="128"/>
      <x:c r="Q30" s="128"/>
      <x:c r="R30" s="128"/>
      <x:c r="S30" s="128"/>
      <x:c r="T30" s="128"/>
      <x:c r="U30" s="128"/>
      <x:c r="V30" s="128"/>
    </x:row>
    <x:row r="31">
      <x:c r="A31" s="128"/>
      <x:c r="B31" s="128"/>
      <x:c r="C31" s="128"/>
      <x:c r="D31" s="128"/>
      <x:c r="E31" s="128"/>
      <x:c r="F31" s="128"/>
      <x:c r="G31" s="128"/>
      <x:c r="H31" s="128"/>
      <x:c r="I31" s="128"/>
      <x:c r="J31" s="128"/>
      <x:c r="K31" s="128"/>
      <x:c r="L31" s="128"/>
      <x:c r="M31" s="128"/>
      <x:c r="N31" s="128"/>
      <x:c r="O31" s="128"/>
      <x:c r="P31" s="128"/>
      <x:c r="Q31" s="128"/>
      <x:c r="R31" s="128"/>
      <x:c r="S31" s="128"/>
      <x:c r="T31" s="128"/>
      <x:c r="U31" s="128"/>
      <x:c r="V31" s="128"/>
    </x:row>
    <x:row r="32">
      <x:c r="A32" s="128"/>
      <x:c r="B32" s="128"/>
      <x:c r="C32" s="128"/>
      <x:c r="D32" s="128"/>
      <x:c r="E32" s="128"/>
      <x:c r="F32" s="128"/>
      <x:c r="G32" s="128"/>
      <x:c r="H32" s="128"/>
      <x:c r="I32" s="128"/>
      <x:c r="J32" s="128"/>
      <x:c r="K32" s="128"/>
      <x:c r="L32" s="128"/>
      <x:c r="M32" s="128"/>
      <x:c r="N32" s="128"/>
      <x:c r="O32" s="128"/>
      <x:c r="P32" s="128"/>
      <x:c r="Q32" s="128"/>
      <x:c r="R32" s="128"/>
      <x:c r="S32" s="128"/>
      <x:c r="T32" s="128"/>
      <x:c r="U32" s="128"/>
      <x:c r="V32" s="128"/>
    </x:row>
    <x:row r="33">
      <x:c r="A33" s="128"/>
      <x:c r="B33" s="128"/>
      <x:c r="C33" s="128"/>
      <x:c r="D33" s="128"/>
      <x:c r="E33" s="128"/>
      <x:c r="F33" s="128"/>
      <x:c r="G33" s="128"/>
      <x:c r="H33" s="128"/>
      <x:c r="I33" s="128"/>
      <x:c r="J33" s="128"/>
      <x:c r="K33" s="128"/>
      <x:c r="L33" s="128"/>
      <x:c r="M33" s="128"/>
      <x:c r="N33" s="128"/>
      <x:c r="O33" s="128"/>
      <x:c r="P33" s="128"/>
      <x:c r="Q33" s="128"/>
      <x:c r="R33" s="128"/>
      <x:c r="S33" s="128"/>
      <x:c r="T33" s="128"/>
      <x:c r="U33" s="128"/>
      <x:c r="V33" s="128"/>
    </x:row>
    <x:row r="34">
      <x:c r="A34" s="128"/>
      <x:c r="B34" s="128"/>
      <x:c r="C34" s="128"/>
      <x:c r="D34" s="128"/>
      <x:c r="E34" s="128"/>
      <x:c r="F34" s="128"/>
      <x:c r="G34" s="128"/>
      <x:c r="H34" s="128"/>
      <x:c r="I34" s="128"/>
      <x:c r="J34" s="128"/>
      <x:c r="K34" s="128"/>
      <x:c r="L34" s="128"/>
      <x:c r="M34" s="128"/>
      <x:c r="N34" s="128"/>
      <x:c r="O34" s="128"/>
      <x:c r="P34" s="128"/>
      <x:c r="Q34" s="128"/>
      <x:c r="R34" s="128"/>
      <x:c r="S34" s="128"/>
      <x:c r="T34" s="128"/>
      <x:c r="U34" s="128"/>
      <x:c r="V34" s="128"/>
    </x:row>
    <x:row r="35">
      <x:c r="A35" s="128"/>
      <x:c r="B35" s="128"/>
      <x:c r="C35" s="128"/>
      <x:c r="D35" s="128"/>
      <x:c r="E35" s="128"/>
      <x:c r="F35" s="128"/>
      <x:c r="G35" s="128"/>
      <x:c r="H35" s="128"/>
      <x:c r="I35" s="128"/>
      <x:c r="J35" s="128"/>
      <x:c r="K35" s="128"/>
      <x:c r="L35" s="128"/>
      <x:c r="M35" s="128"/>
      <x:c r="N35" s="128"/>
      <x:c r="O35" s="128"/>
      <x:c r="P35" s="128"/>
      <x:c r="Q35" s="128"/>
      <x:c r="R35" s="128"/>
      <x:c r="S35" s="128"/>
      <x:c r="T35" s="128"/>
      <x:c r="U35" s="128"/>
      <x:c r="V35" s="128"/>
    </x:row>
    <x:row r="36">
      <x:c r="A36" s="128"/>
      <x:c r="B36" s="128"/>
      <x:c r="C36" s="128"/>
      <x:c r="D36" s="128"/>
      <x:c r="E36" s="128"/>
      <x:c r="F36" s="128"/>
      <x:c r="G36" s="128"/>
      <x:c r="H36" s="128"/>
      <x:c r="I36" s="128"/>
      <x:c r="J36" s="128"/>
      <x:c r="K36" s="128"/>
      <x:c r="L36" s="128"/>
      <x:c r="M36" s="128"/>
      <x:c r="N36" s="128"/>
      <x:c r="O36" s="128"/>
      <x:c r="P36" s="128"/>
      <x:c r="Q36" s="128"/>
      <x:c r="R36" s="128"/>
      <x:c r="S36" s="128"/>
      <x:c r="T36" s="128"/>
      <x:c r="U36" s="128"/>
      <x:c r="V36" s="128"/>
    </x:row>
    <x:row r="37">
      <x:c r="A37" s="128"/>
      <x:c r="B37" s="128"/>
      <x:c r="C37" s="128"/>
      <x:c r="D37" s="128"/>
      <x:c r="E37" s="128"/>
      <x:c r="F37" s="128"/>
      <x:c r="G37" s="128"/>
      <x:c r="H37" s="128"/>
      <x:c r="I37" s="128"/>
      <x:c r="J37" s="128"/>
      <x:c r="K37" s="128"/>
      <x:c r="L37" s="128"/>
      <x:c r="M37" s="128"/>
      <x:c r="N37" s="128"/>
      <x:c r="O37" s="128"/>
      <x:c r="P37" s="128"/>
      <x:c r="Q37" s="128"/>
      <x:c r="R37" s="128"/>
      <x:c r="S37" s="128"/>
      <x:c r="T37" s="128"/>
      <x:c r="U37" s="128"/>
      <x:c r="V37" s="128"/>
    </x:row>
    <x:row r="38">
      <x:c r="A38" s="128"/>
      <x:c r="B38" s="128"/>
      <x:c r="C38" s="128"/>
      <x:c r="D38" s="128"/>
      <x:c r="E38" s="128"/>
      <x:c r="F38" s="128"/>
      <x:c r="G38" s="128"/>
      <x:c r="H38" s="128"/>
      <x:c r="I38" s="128"/>
      <x:c r="J38" s="128"/>
      <x:c r="K38" s="128"/>
      <x:c r="L38" s="128"/>
      <x:c r="M38" s="128"/>
      <x:c r="N38" s="128"/>
      <x:c r="O38" s="128"/>
      <x:c r="P38" s="128"/>
      <x:c r="Q38" s="128"/>
      <x:c r="R38" s="128"/>
      <x:c r="S38" s="128"/>
      <x:c r="T38" s="128"/>
      <x:c r="U38" s="128"/>
      <x:c r="V38" s="128"/>
    </x:row>
    <x:row r="39">
      <x:c r="A39" s="128"/>
      <x:c r="B39" s="128"/>
      <x:c r="C39" s="128"/>
      <x:c r="D39" s="128"/>
      <x:c r="E39" s="128"/>
      <x:c r="F39" s="128"/>
      <x:c r="G39" s="128"/>
      <x:c r="H39" s="128"/>
      <x:c r="I39" s="128"/>
      <x:c r="J39" s="128"/>
      <x:c r="K39" s="128"/>
      <x:c r="L39" s="128"/>
      <x:c r="M39" s="128"/>
      <x:c r="N39" s="128"/>
      <x:c r="O39" s="128"/>
      <x:c r="P39" s="128"/>
      <x:c r="Q39" s="128"/>
      <x:c r="R39" s="128"/>
      <x:c r="S39" s="128"/>
      <x:c r="T39" s="128"/>
      <x:c r="U39" s="128"/>
      <x:c r="V39" s="128"/>
    </x:row>
    <x:row r="40">
      <x:c r="A40" s="128"/>
      <x:c r="B40" s="128"/>
      <x:c r="C40" s="128"/>
      <x:c r="D40" s="128"/>
      <x:c r="E40" s="128"/>
      <x:c r="F40" s="128"/>
      <x:c r="G40" s="128"/>
      <x:c r="H40" s="128"/>
      <x:c r="I40" s="128"/>
      <x:c r="J40" s="128"/>
      <x:c r="K40" s="128"/>
      <x:c r="L40" s="128"/>
      <x:c r="M40" s="128"/>
      <x:c r="N40" s="128"/>
      <x:c r="O40" s="128"/>
      <x:c r="P40" s="128"/>
      <x:c r="Q40" s="128"/>
      <x:c r="R40" s="128"/>
      <x:c r="S40" s="128"/>
      <x:c r="T40" s="128"/>
      <x:c r="U40" s="128"/>
      <x:c r="V40" s="128"/>
    </x:row>
    <x:row r="41">
      <x:c r="A41" s="128"/>
      <x:c r="B41" s="128"/>
      <x:c r="C41" s="128"/>
      <x:c r="D41" s="128"/>
      <x:c r="E41" s="128"/>
      <x:c r="F41" s="128"/>
      <x:c r="G41" s="128"/>
      <x:c r="H41" s="128"/>
      <x:c r="I41" s="128"/>
      <x:c r="J41" s="128"/>
      <x:c r="K41" s="128"/>
      <x:c r="L41" s="128"/>
      <x:c r="M41" s="128"/>
      <x:c r="N41" s="128"/>
      <x:c r="O41" s="128"/>
      <x:c r="P41" s="128"/>
      <x:c r="Q41" s="128"/>
      <x:c r="R41" s="128"/>
      <x:c r="S41" s="128"/>
      <x:c r="T41" s="128"/>
      <x:c r="U41" s="128"/>
      <x:c r="V41" s="128"/>
    </x:row>
    <x:row r="42">
      <x:c r="A42" s="128"/>
      <x:c r="B42" s="128"/>
      <x:c r="C42" s="128"/>
      <x:c r="D42" s="128"/>
      <x:c r="E42" s="128"/>
      <x:c r="F42" s="128"/>
      <x:c r="G42" s="128"/>
      <x:c r="H42" s="128"/>
      <x:c r="I42" s="128"/>
      <x:c r="J42" s="128"/>
      <x:c r="K42" s="128"/>
      <x:c r="L42" s="128"/>
      <x:c r="M42" s="128"/>
      <x:c r="N42" s="128"/>
      <x:c r="O42" s="128"/>
      <x:c r="P42" s="128"/>
      <x:c r="Q42" s="128"/>
      <x:c r="R42" s="128"/>
      <x:c r="S42" s="128"/>
      <x:c r="T42" s="128"/>
      <x:c r="U42" s="128"/>
      <x:c r="V42" s="128"/>
    </x:row>
    <x:row r="43">
      <x:c r="A43" s="128"/>
      <x:c r="B43" s="128"/>
      <x:c r="C43" s="128"/>
      <x:c r="D43" s="128"/>
      <x:c r="E43" s="128"/>
      <x:c r="F43" s="128"/>
      <x:c r="G43" s="128"/>
      <x:c r="H43" s="128"/>
      <x:c r="I43" s="128"/>
      <x:c r="J43" s="128"/>
      <x:c r="K43" s="128"/>
      <x:c r="L43" s="128"/>
      <x:c r="M43" s="128"/>
      <x:c r="N43" s="128"/>
      <x:c r="O43" s="128"/>
      <x:c r="P43" s="128"/>
      <x:c r="Q43" s="128"/>
      <x:c r="R43" s="128"/>
      <x:c r="S43" s="128"/>
      <x:c r="T43" s="128"/>
      <x:c r="U43" s="128"/>
      <x:c r="V43" s="128"/>
    </x:row>
    <x:row r="44">
      <x:c r="A44" s="128"/>
      <x:c r="B44" s="128"/>
      <x:c r="C44" s="128"/>
      <x:c r="D44" s="128"/>
      <x:c r="E44" s="128"/>
      <x:c r="F44" s="128"/>
      <x:c r="G44" s="128"/>
      <x:c r="H44" s="128"/>
      <x:c r="I44" s="128"/>
      <x:c r="J44" s="128"/>
      <x:c r="K44" s="128"/>
      <x:c r="L44" s="128"/>
      <x:c r="M44" s="128"/>
      <x:c r="N44" s="128"/>
      <x:c r="O44" s="128"/>
      <x:c r="P44" s="128"/>
      <x:c r="Q44" s="128"/>
      <x:c r="R44" s="128"/>
      <x:c r="S44" s="128"/>
      <x:c r="T44" s="128"/>
      <x:c r="U44" s="128"/>
      <x:c r="V44" s="128"/>
    </x:row>
    <x:row r="45">
      <x:c r="A45" s="128"/>
      <x:c r="B45" s="128"/>
      <x:c r="C45" s="128"/>
      <x:c r="D45" s="128"/>
      <x:c r="E45" s="128"/>
      <x:c r="F45" s="128"/>
      <x:c r="G45" s="128"/>
      <x:c r="H45" s="128"/>
      <x:c r="I45" s="128"/>
      <x:c r="J45" s="128"/>
      <x:c r="K45" s="128"/>
      <x:c r="L45" s="128"/>
      <x:c r="M45" s="128"/>
      <x:c r="N45" s="128"/>
      <x:c r="O45" s="128"/>
      <x:c r="P45" s="128"/>
      <x:c r="Q45" s="128"/>
      <x:c r="R45" s="128"/>
      <x:c r="S45" s="128"/>
      <x:c r="T45" s="128"/>
      <x:c r="U45" s="128"/>
      <x:c r="V45" s="128"/>
    </x:row>
    <x:row r="46">
      <x:c r="A46" s="128"/>
      <x:c r="B46" s="128"/>
      <x:c r="C46" s="128"/>
      <x:c r="D46" s="128"/>
      <x:c r="E46" s="128"/>
      <x:c r="F46" s="128"/>
      <x:c r="G46" s="128"/>
      <x:c r="H46" s="128"/>
      <x:c r="I46" s="128"/>
      <x:c r="J46" s="128"/>
      <x:c r="K46" s="128"/>
      <x:c r="L46" s="128"/>
      <x:c r="M46" s="128"/>
      <x:c r="N46" s="128"/>
      <x:c r="O46" s="128"/>
      <x:c r="P46" s="128"/>
      <x:c r="Q46" s="128"/>
      <x:c r="R46" s="128"/>
      <x:c r="S46" s="128"/>
      <x:c r="T46" s="128"/>
      <x:c r="U46" s="128"/>
      <x:c r="V46" s="128"/>
    </x:row>
    <x:row r="47">
      <x:c r="A47" s="128"/>
      <x:c r="B47" s="128"/>
      <x:c r="C47" s="128"/>
      <x:c r="D47" s="128"/>
      <x:c r="E47" s="128"/>
      <x:c r="F47" s="128"/>
      <x:c r="G47" s="128"/>
      <x:c r="H47" s="128"/>
      <x:c r="I47" s="128"/>
      <x:c r="J47" s="128"/>
      <x:c r="K47" s="128"/>
      <x:c r="L47" s="128"/>
      <x:c r="M47" s="128"/>
      <x:c r="N47" s="128"/>
      <x:c r="O47" s="128"/>
      <x:c r="P47" s="128"/>
      <x:c r="Q47" s="128"/>
      <x:c r="R47" s="128"/>
      <x:c r="S47" s="128"/>
      <x:c r="T47" s="128"/>
      <x:c r="U47" s="128"/>
      <x:c r="V47" s="128"/>
    </x:row>
    <x:row r="48">
      <x:c r="A48" s="128"/>
      <x:c r="B48" s="128"/>
      <x:c r="C48" s="128"/>
      <x:c r="D48" s="128"/>
      <x:c r="E48" s="128"/>
      <x:c r="F48" s="128"/>
      <x:c r="G48" s="128"/>
      <x:c r="H48" s="128"/>
      <x:c r="I48" s="128"/>
      <x:c r="J48" s="128"/>
      <x:c r="K48" s="128"/>
      <x:c r="L48" s="128"/>
      <x:c r="M48" s="128"/>
      <x:c r="N48" s="128"/>
      <x:c r="O48" s="128"/>
      <x:c r="P48" s="128"/>
      <x:c r="Q48" s="128"/>
      <x:c r="R48" s="128"/>
      <x:c r="S48" s="128"/>
      <x:c r="T48" s="128"/>
      <x:c r="U48" s="128"/>
      <x:c r="V48" s="128"/>
    </x:row>
    <x:row r="49">
      <x:c r="A49" s="128"/>
      <x:c r="B49" s="128"/>
      <x:c r="C49" s="128"/>
      <x:c r="D49" s="128"/>
      <x:c r="E49" s="128"/>
      <x:c r="F49" s="128"/>
      <x:c r="G49" s="128"/>
      <x:c r="H49" s="128"/>
      <x:c r="I49" s="128"/>
      <x:c r="J49" s="128"/>
      <x:c r="K49" s="128"/>
      <x:c r="L49" s="128"/>
      <x:c r="M49" s="128"/>
      <x:c r="N49" s="128"/>
      <x:c r="O49" s="128"/>
      <x:c r="P49" s="128"/>
      <x:c r="Q49" s="128"/>
      <x:c r="R49" s="128"/>
      <x:c r="S49" s="128"/>
      <x:c r="T49" s="128"/>
      <x:c r="U49" s="128"/>
      <x:c r="V49" s="128"/>
    </x:row>
    <x:row r="50">
      <x:c r="A50" s="128"/>
      <x:c r="B50" s="128"/>
      <x:c r="C50" s="128"/>
      <x:c r="D50" s="128"/>
      <x:c r="E50" s="128"/>
      <x:c r="F50" s="128"/>
      <x:c r="G50" s="128"/>
      <x:c r="H50" s="128"/>
      <x:c r="I50" s="128"/>
      <x:c r="J50" s="128"/>
      <x:c r="K50" s="128"/>
      <x:c r="L50" s="128"/>
      <x:c r="M50" s="128"/>
      <x:c r="N50" s="128"/>
      <x:c r="O50" s="128"/>
      <x:c r="P50" s="128"/>
      <x:c r="Q50" s="128"/>
      <x:c r="R50" s="128"/>
      <x:c r="S50" s="128"/>
      <x:c r="T50" s="128"/>
      <x:c r="U50" s="128"/>
      <x:c r="V50" s="128"/>
    </x:row>
    <x:row r="51">
      <x:c r="A51" s="128"/>
      <x:c r="B51" s="128"/>
      <x:c r="C51" s="128"/>
      <x:c r="D51" s="128"/>
      <x:c r="E51" s="128"/>
      <x:c r="F51" s="128"/>
      <x:c r="G51" s="128"/>
      <x:c r="H51" s="128"/>
      <x:c r="I51" s="128"/>
      <x:c r="J51" s="128"/>
      <x:c r="K51" s="128"/>
      <x:c r="L51" s="128"/>
      <x:c r="M51" s="128"/>
      <x:c r="N51" s="128"/>
      <x:c r="O51" s="128"/>
      <x:c r="P51" s="128"/>
      <x:c r="Q51" s="128"/>
      <x:c r="R51" s="128"/>
      <x:c r="S51" s="128"/>
      <x:c r="T51" s="128"/>
      <x:c r="U51" s="128"/>
      <x:c r="V51" s="128"/>
    </x:row>
    <x:row r="52">
      <x:c r="A52" s="128"/>
      <x:c r="B52" s="128"/>
      <x:c r="C52" s="128"/>
      <x:c r="D52" s="128"/>
      <x:c r="E52" s="128"/>
      <x:c r="F52" s="128"/>
      <x:c r="G52" s="128"/>
      <x:c r="H52" s="128"/>
      <x:c r="I52" s="128"/>
      <x:c r="J52" s="128"/>
      <x:c r="K52" s="128"/>
      <x:c r="L52" s="128"/>
      <x:c r="M52" s="128"/>
      <x:c r="N52" s="128"/>
      <x:c r="O52" s="128"/>
      <x:c r="P52" s="128"/>
      <x:c r="Q52" s="128"/>
      <x:c r="R52" s="128"/>
      <x:c r="S52" s="128"/>
      <x:c r="T52" s="128"/>
      <x:c r="U52" s="128"/>
      <x:c r="V52" s="128"/>
    </x:row>
    <x:row r="53">
      <x:c r="A53" s="128"/>
      <x:c r="B53" s="128"/>
      <x:c r="C53" s="128"/>
      <x:c r="D53" s="128"/>
      <x:c r="E53" s="128"/>
      <x:c r="F53" s="128"/>
      <x:c r="G53" s="128"/>
      <x:c r="H53" s="128"/>
      <x:c r="I53" s="128"/>
      <x:c r="J53" s="128"/>
      <x:c r="K53" s="128"/>
      <x:c r="L53" s="128"/>
      <x:c r="M53" s="128"/>
      <x:c r="N53" s="128"/>
      <x:c r="O53" s="128"/>
      <x:c r="P53" s="128"/>
      <x:c r="Q53" s="128"/>
      <x:c r="R53" s="128"/>
      <x:c r="S53" s="128"/>
      <x:c r="T53" s="128"/>
      <x:c r="U53" s="128"/>
      <x:c r="V53" s="128"/>
    </x:row>
    <x:row r="54">
      <x:c r="A54" s="128"/>
      <x:c r="B54" s="128"/>
      <x:c r="C54" s="128"/>
      <x:c r="D54" s="128"/>
      <x:c r="E54" s="128"/>
      <x:c r="F54" s="128"/>
      <x:c r="G54" s="128"/>
      <x:c r="H54" s="128"/>
      <x:c r="I54" s="128"/>
      <x:c r="J54" s="128"/>
      <x:c r="K54" s="128"/>
      <x:c r="L54" s="128"/>
      <x:c r="M54" s="128"/>
      <x:c r="N54" s="128"/>
      <x:c r="O54" s="128"/>
      <x:c r="P54" s="128"/>
      <x:c r="Q54" s="128"/>
      <x:c r="R54" s="128"/>
      <x:c r="S54" s="128"/>
      <x:c r="T54" s="128"/>
      <x:c r="U54" s="128"/>
      <x:c r="V54" s="128"/>
    </x:row>
    <x:row r="55">
      <x:c r="A55" s="128"/>
      <x:c r="B55" s="128"/>
      <x:c r="C55" s="128"/>
      <x:c r="D55" s="128"/>
      <x:c r="E55" s="128"/>
      <x:c r="F55" s="128"/>
      <x:c r="G55" s="128"/>
      <x:c r="H55" s="128"/>
      <x:c r="I55" s="128"/>
      <x:c r="J55" s="128"/>
      <x:c r="K55" s="128"/>
      <x:c r="L55" s="128"/>
      <x:c r="M55" s="128"/>
      <x:c r="N55" s="128"/>
      <x:c r="O55" s="128"/>
      <x:c r="P55" s="128"/>
      <x:c r="Q55" s="128"/>
      <x:c r="R55" s="128"/>
      <x:c r="S55" s="128"/>
      <x:c r="T55" s="128"/>
      <x:c r="U55" s="128"/>
      <x:c r="V55" s="128"/>
    </x:row>
    <x:row r="56">
      <x:c r="A56" s="128"/>
      <x:c r="B56" s="128"/>
      <x:c r="C56" s="128"/>
      <x:c r="D56" s="128"/>
      <x:c r="E56" s="128"/>
      <x:c r="F56" s="128"/>
      <x:c r="G56" s="128"/>
      <x:c r="H56" s="128"/>
      <x:c r="I56" s="128"/>
      <x:c r="J56" s="128"/>
      <x:c r="K56" s="128"/>
      <x:c r="L56" s="128"/>
      <x:c r="M56" s="128"/>
      <x:c r="N56" s="128"/>
      <x:c r="O56" s="128"/>
      <x:c r="P56" s="128"/>
      <x:c r="Q56" s="128"/>
      <x:c r="R56" s="128"/>
      <x:c r="S56" s="128"/>
      <x:c r="T56" s="128"/>
      <x:c r="U56" s="128"/>
      <x:c r="V56" s="128"/>
    </x:row>
    <x:row r="57">
      <x:c r="A57" s="128"/>
      <x:c r="B57" s="128"/>
      <x:c r="C57" s="128"/>
      <x:c r="D57" s="128"/>
      <x:c r="E57" s="128"/>
      <x:c r="F57" s="128"/>
      <x:c r="G57" s="128"/>
      <x:c r="H57" s="128"/>
      <x:c r="I57" s="128"/>
      <x:c r="J57" s="128"/>
      <x:c r="K57" s="128"/>
      <x:c r="L57" s="128"/>
      <x:c r="M57" s="128"/>
      <x:c r="N57" s="128"/>
      <x:c r="O57" s="128"/>
      <x:c r="P57" s="128"/>
      <x:c r="Q57" s="128"/>
      <x:c r="R57" s="128"/>
      <x:c r="S57" s="128"/>
      <x:c r="T57" s="128"/>
      <x:c r="U57" s="128"/>
      <x:c r="V57" s="128"/>
    </x:row>
    <x:row r="58">
      <x:c r="A58" s="128"/>
      <x:c r="B58" s="128"/>
      <x:c r="C58" s="128"/>
      <x:c r="D58" s="128"/>
      <x:c r="E58" s="128"/>
      <x:c r="F58" s="128"/>
      <x:c r="G58" s="128"/>
      <x:c r="H58" s="128"/>
      <x:c r="I58" s="128"/>
      <x:c r="J58" s="128"/>
      <x:c r="K58" s="128"/>
      <x:c r="L58" s="128"/>
      <x:c r="M58" s="128"/>
      <x:c r="N58" s="128"/>
      <x:c r="O58" s="128"/>
      <x:c r="P58" s="128"/>
      <x:c r="Q58" s="128"/>
      <x:c r="R58" s="128"/>
      <x:c r="S58" s="128"/>
      <x:c r="T58" s="128"/>
      <x:c r="U58" s="128"/>
      <x:c r="V58" s="128"/>
    </x:row>
    <x:row r="59">
      <x:c r="A59" s="128"/>
      <x:c r="B59" s="128"/>
      <x:c r="C59" s="128"/>
      <x:c r="D59" s="128"/>
      <x:c r="E59" s="128"/>
      <x:c r="F59" s="128"/>
      <x:c r="G59" s="128"/>
      <x:c r="H59" s="128"/>
      <x:c r="I59" s="128"/>
      <x:c r="J59" s="128"/>
      <x:c r="K59" s="128"/>
      <x:c r="L59" s="128"/>
      <x:c r="M59" s="128"/>
      <x:c r="N59" s="128"/>
      <x:c r="O59" s="128"/>
      <x:c r="P59" s="128"/>
      <x:c r="Q59" s="128"/>
      <x:c r="R59" s="128"/>
      <x:c r="S59" s="128"/>
      <x:c r="T59" s="128"/>
      <x:c r="U59" s="128"/>
      <x:c r="V59" s="128"/>
    </x:row>
    <x:row r="60">
      <x:c r="A60" s="128"/>
      <x:c r="B60" s="128"/>
      <x:c r="C60" s="128"/>
      <x:c r="D60" s="128"/>
      <x:c r="E60" s="128"/>
      <x:c r="F60" s="128"/>
      <x:c r="G60" s="128"/>
      <x:c r="H60" s="128"/>
      <x:c r="I60" s="128"/>
      <x:c r="J60" s="128"/>
      <x:c r="K60" s="128"/>
      <x:c r="L60" s="128"/>
      <x:c r="M60" s="128"/>
      <x:c r="N60" s="128"/>
      <x:c r="O60" s="128"/>
      <x:c r="P60" s="128"/>
      <x:c r="Q60" s="128"/>
      <x:c r="R60" s="128"/>
      <x:c r="S60" s="128"/>
      <x:c r="T60" s="128"/>
      <x:c r="U60" s="128"/>
      <x:c r="V60" s="128"/>
    </x:row>
    <x:row r="61">
      <x:c r="A61" s="128"/>
      <x:c r="B61" s="128"/>
      <x:c r="C61" s="128"/>
      <x:c r="D61" s="128"/>
      <x:c r="E61" s="128"/>
      <x:c r="F61" s="128"/>
      <x:c r="G61" s="128"/>
      <x:c r="H61" s="128"/>
      <x:c r="I61" s="128"/>
      <x:c r="J61" s="128"/>
      <x:c r="K61" s="128"/>
      <x:c r="L61" s="128"/>
      <x:c r="M61" s="128"/>
      <x:c r="N61" s="128"/>
      <x:c r="O61" s="128"/>
      <x:c r="P61" s="128"/>
      <x:c r="Q61" s="128"/>
      <x:c r="R61" s="128"/>
      <x:c r="S61" s="128"/>
      <x:c r="T61" s="128"/>
      <x:c r="U61" s="128"/>
      <x:c r="V61" s="128"/>
    </x:row>
    <x:row r="62">
      <x:c r="A62" s="128"/>
      <x:c r="B62" s="128"/>
      <x:c r="C62" s="128"/>
      <x:c r="D62" s="128"/>
      <x:c r="E62" s="128"/>
      <x:c r="F62" s="128"/>
      <x:c r="G62" s="128"/>
      <x:c r="H62" s="128"/>
      <x:c r="I62" s="128"/>
      <x:c r="J62" s="128"/>
      <x:c r="K62" s="128"/>
      <x:c r="L62" s="128"/>
      <x:c r="M62" s="128"/>
      <x:c r="N62" s="128"/>
      <x:c r="O62" s="128"/>
      <x:c r="P62" s="128"/>
      <x:c r="Q62" s="128"/>
      <x:c r="R62" s="128"/>
      <x:c r="S62" s="128"/>
      <x:c r="T62" s="128"/>
      <x:c r="U62" s="128"/>
      <x:c r="V62" s="128"/>
    </x:row>
    <x:row r="63">
      <x:c r="A63" s="128"/>
      <x:c r="B63" s="128"/>
      <x:c r="C63" s="128"/>
      <x:c r="D63" s="128"/>
      <x:c r="E63" s="128"/>
      <x:c r="F63" s="128"/>
      <x:c r="G63" s="128"/>
      <x:c r="H63" s="128"/>
      <x:c r="I63" s="128"/>
      <x:c r="J63" s="128"/>
      <x:c r="K63" s="128"/>
      <x:c r="L63" s="128"/>
      <x:c r="M63" s="128"/>
      <x:c r="N63" s="128"/>
      <x:c r="O63" s="128"/>
      <x:c r="P63" s="128"/>
      <x:c r="Q63" s="128"/>
      <x:c r="R63" s="128"/>
      <x:c r="S63" s="128"/>
      <x:c r="T63" s="128"/>
      <x:c r="U63" s="128"/>
      <x:c r="V63" s="128"/>
    </x:row>
    <x:row r="64">
      <x:c r="A64" s="128"/>
      <x:c r="B64" s="128"/>
      <x:c r="C64" s="128"/>
      <x:c r="D64" s="128"/>
      <x:c r="E64" s="128"/>
      <x:c r="F64" s="128"/>
      <x:c r="G64" s="128"/>
      <x:c r="H64" s="128"/>
      <x:c r="I64" s="128"/>
      <x:c r="J64" s="128"/>
      <x:c r="K64" s="128"/>
      <x:c r="L64" s="128"/>
      <x:c r="M64" s="128"/>
      <x:c r="N64" s="128"/>
      <x:c r="O64" s="128"/>
      <x:c r="P64" s="128"/>
      <x:c r="Q64" s="128"/>
      <x:c r="R64" s="128"/>
      <x:c r="S64" s="128"/>
      <x:c r="T64" s="128"/>
      <x:c r="U64" s="128"/>
      <x:c r="V64" s="128"/>
    </x:row>
    <x:row r="65">
      <x:c r="A65" s="128"/>
      <x:c r="B65" s="128"/>
      <x:c r="C65" s="128"/>
      <x:c r="D65" s="128"/>
      <x:c r="E65" s="128"/>
      <x:c r="F65" s="128"/>
      <x:c r="G65" s="128"/>
      <x:c r="H65" s="128"/>
      <x:c r="I65" s="128"/>
      <x:c r="J65" s="128"/>
      <x:c r="K65" s="128"/>
      <x:c r="L65" s="128"/>
      <x:c r="M65" s="128"/>
      <x:c r="N65" s="128"/>
      <x:c r="O65" s="128"/>
      <x:c r="P65" s="128"/>
      <x:c r="Q65" s="128"/>
      <x:c r="R65" s="128"/>
      <x:c r="S65" s="128"/>
      <x:c r="T65" s="128"/>
      <x:c r="U65" s="128"/>
      <x:c r="V65" s="128"/>
    </x:row>
    <x:row r="66">
      <x:c r="A66" s="128"/>
      <x:c r="B66" s="128"/>
      <x:c r="C66" s="128"/>
      <x:c r="D66" s="128"/>
      <x:c r="E66" s="128"/>
      <x:c r="F66" s="128"/>
      <x:c r="G66" s="128"/>
      <x:c r="H66" s="128"/>
      <x:c r="I66" s="128"/>
      <x:c r="J66" s="128"/>
      <x:c r="K66" s="128"/>
      <x:c r="L66" s="128"/>
      <x:c r="M66" s="128"/>
      <x:c r="N66" s="128"/>
      <x:c r="O66" s="128"/>
      <x:c r="P66" s="128"/>
      <x:c r="Q66" s="128"/>
      <x:c r="R66" s="128"/>
      <x:c r="S66" s="128"/>
      <x:c r="T66" s="128"/>
      <x:c r="U66" s="128"/>
      <x:c r="V66" s="128"/>
    </x:row>
    <x:row r="67">
      <x:c r="A67" s="128"/>
      <x:c r="B67" s="128"/>
      <x:c r="C67" s="128"/>
      <x:c r="D67" s="128"/>
      <x:c r="E67" s="128"/>
      <x:c r="F67" s="128"/>
      <x:c r="G67" s="128"/>
      <x:c r="H67" s="128"/>
      <x:c r="I67" s="128"/>
      <x:c r="J67" s="128"/>
      <x:c r="K67" s="128"/>
      <x:c r="L67" s="128"/>
      <x:c r="M67" s="128"/>
      <x:c r="N67" s="128"/>
      <x:c r="O67" s="128"/>
      <x:c r="P67" s="128"/>
      <x:c r="Q67" s="128"/>
      <x:c r="R67" s="128"/>
      <x:c r="S67" s="128"/>
      <x:c r="T67" s="128"/>
      <x:c r="U67" s="128"/>
      <x:c r="V67" s="128"/>
    </x:row>
    <x:row r="68">
      <x:c r="A68" s="128"/>
      <x:c r="B68" s="128"/>
      <x:c r="C68" s="128"/>
      <x:c r="D68" s="128"/>
      <x:c r="E68" s="128"/>
      <x:c r="F68" s="128"/>
      <x:c r="G68" s="128"/>
      <x:c r="H68" s="128"/>
      <x:c r="I68" s="128"/>
      <x:c r="J68" s="128"/>
      <x:c r="K68" s="128"/>
      <x:c r="L68" s="128"/>
      <x:c r="M68" s="128"/>
      <x:c r="N68" s="128"/>
      <x:c r="O68" s="128"/>
      <x:c r="P68" s="128"/>
      <x:c r="Q68" s="128"/>
      <x:c r="R68" s="128"/>
      <x:c r="S68" s="128"/>
      <x:c r="T68" s="128"/>
      <x:c r="U68" s="128"/>
      <x:c r="V68" s="128"/>
    </x:row>
    <x:row r="69">
      <x:c r="A69" s="128"/>
      <x:c r="B69" s="128"/>
      <x:c r="C69" s="128"/>
      <x:c r="D69" s="128"/>
      <x:c r="E69" s="128"/>
      <x:c r="F69" s="128"/>
      <x:c r="G69" s="128"/>
      <x:c r="H69" s="128"/>
      <x:c r="I69" s="128"/>
      <x:c r="J69" s="128"/>
      <x:c r="K69" s="128"/>
      <x:c r="L69" s="128"/>
      <x:c r="M69" s="128"/>
      <x:c r="N69" s="128"/>
      <x:c r="O69" s="128"/>
      <x:c r="P69" s="128"/>
      <x:c r="Q69" s="128"/>
      <x:c r="R69" s="128"/>
      <x:c r="S69" s="128"/>
      <x:c r="T69" s="128"/>
      <x:c r="U69" s="128"/>
      <x:c r="V69" s="128"/>
    </x:row>
    <x:row r="70">
      <x:c r="A70" s="128"/>
      <x:c r="B70" s="128"/>
      <x:c r="C70" s="128"/>
      <x:c r="D70" s="128"/>
      <x:c r="E70" s="128"/>
      <x:c r="F70" s="128"/>
      <x:c r="G70" s="128"/>
      <x:c r="H70" s="128"/>
      <x:c r="I70" s="128"/>
      <x:c r="J70" s="128"/>
      <x:c r="K70" s="128"/>
      <x:c r="L70" s="128"/>
      <x:c r="M70" s="128"/>
      <x:c r="N70" s="128"/>
      <x:c r="O70" s="128"/>
      <x:c r="P70" s="128"/>
      <x:c r="Q70" s="128"/>
      <x:c r="R70" s="128"/>
      <x:c r="S70" s="128"/>
      <x:c r="T70" s="128"/>
      <x:c r="U70" s="128"/>
      <x:c r="V70" s="128"/>
    </x:row>
    <x:row r="71">
      <x:c r="A71" s="128"/>
      <x:c r="B71" s="128"/>
      <x:c r="C71" s="128"/>
      <x:c r="D71" s="128"/>
      <x:c r="E71" s="128"/>
      <x:c r="F71" s="128"/>
      <x:c r="G71" s="128"/>
      <x:c r="H71" s="128"/>
      <x:c r="I71" s="128"/>
      <x:c r="J71" s="128"/>
      <x:c r="K71" s="128"/>
      <x:c r="L71" s="128"/>
      <x:c r="M71" s="128"/>
      <x:c r="N71" s="128"/>
      <x:c r="O71" s="128"/>
      <x:c r="P71" s="128"/>
      <x:c r="Q71" s="128"/>
      <x:c r="R71" s="128"/>
      <x:c r="S71" s="128"/>
      <x:c r="T71" s="128"/>
      <x:c r="U71" s="128"/>
      <x:c r="V71" s="128"/>
    </x:row>
    <x:row r="72">
      <x:c r="A72" s="128"/>
      <x:c r="B72" s="128"/>
      <x:c r="C72" s="128"/>
      <x:c r="D72" s="128"/>
      <x:c r="E72" s="128"/>
      <x:c r="F72" s="128"/>
      <x:c r="G72" s="128"/>
      <x:c r="H72" s="128"/>
      <x:c r="I72" s="128"/>
      <x:c r="J72" s="128"/>
      <x:c r="K72" s="128"/>
      <x:c r="L72" s="128"/>
      <x:c r="M72" s="128"/>
      <x:c r="N72" s="128"/>
      <x:c r="O72" s="128"/>
      <x:c r="P72" s="128"/>
      <x:c r="Q72" s="128"/>
      <x:c r="R72" s="128"/>
      <x:c r="S72" s="128"/>
      <x:c r="T72" s="128"/>
      <x:c r="U72" s="128"/>
      <x:c r="V72" s="128"/>
    </x:row>
    <x:row r="73">
      <x:c r="A73" s="128"/>
      <x:c r="B73" s="128"/>
      <x:c r="C73" s="128"/>
      <x:c r="D73" s="128"/>
      <x:c r="E73" s="128"/>
      <x:c r="F73" s="128"/>
      <x:c r="G73" s="128"/>
      <x:c r="H73" s="128"/>
      <x:c r="I73" s="128"/>
      <x:c r="J73" s="128"/>
      <x:c r="K73" s="128"/>
      <x:c r="L73" s="128"/>
      <x:c r="M73" s="128"/>
      <x:c r="N73" s="128"/>
      <x:c r="O73" s="128"/>
      <x:c r="P73" s="128"/>
      <x:c r="Q73" s="128"/>
      <x:c r="R73" s="128"/>
      <x:c r="S73" s="128"/>
      <x:c r="T73" s="128"/>
      <x:c r="U73" s="128"/>
      <x:c r="V73" s="128"/>
    </x:row>
    <x:row r="74">
      <x:c r="A74" s="128"/>
      <x:c r="B74" s="128"/>
      <x:c r="C74" s="128"/>
      <x:c r="D74" s="128"/>
      <x:c r="E74" s="128"/>
      <x:c r="F74" s="128"/>
      <x:c r="G74" s="128"/>
      <x:c r="H74" s="128"/>
      <x:c r="I74" s="128"/>
      <x:c r="J74" s="128"/>
      <x:c r="K74" s="128"/>
      <x:c r="L74" s="128"/>
      <x:c r="M74" s="128"/>
      <x:c r="N74" s="128"/>
      <x:c r="O74" s="128"/>
      <x:c r="P74" s="128"/>
      <x:c r="Q74" s="128"/>
      <x:c r="R74" s="128"/>
      <x:c r="S74" s="128"/>
      <x:c r="T74" s="128"/>
      <x:c r="U74" s="128"/>
      <x:c r="V74" s="128"/>
    </x:row>
    <x:row r="75">
      <x:c r="A75" s="128"/>
      <x:c r="B75" s="128"/>
      <x:c r="C75" s="128"/>
      <x:c r="D75" s="128"/>
      <x:c r="E75" s="128"/>
      <x:c r="F75" s="128"/>
      <x:c r="G75" s="128"/>
      <x:c r="H75" s="128"/>
      <x:c r="I75" s="128"/>
      <x:c r="J75" s="128"/>
      <x:c r="K75" s="128"/>
      <x:c r="L75" s="128"/>
      <x:c r="M75" s="128"/>
      <x:c r="N75" s="128"/>
      <x:c r="O75" s="128"/>
      <x:c r="P75" s="128"/>
      <x:c r="Q75" s="128"/>
      <x:c r="R75" s="128"/>
      <x:c r="S75" s="128"/>
      <x:c r="T75" s="128"/>
      <x:c r="U75" s="128"/>
      <x:c r="V75" s="128"/>
    </x:row>
  </x:sheetData>
  <x:pageMargins left="0.7" right="0.7" top="0.75" bottom="0.75" header="0.3" footer="0.3"/>
</x:worksheet>
</file>