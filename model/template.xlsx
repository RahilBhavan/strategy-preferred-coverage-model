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EADME" sheetId="2" state="visible" r:id="rId2"/>
    <sheet name="Inputs" sheetId="3" state="visible" r:id="rId3"/>
    <sheet name="Scenarios" sheetId="4" state="visible" r:id="rId4"/>
    <sheet name="Instruments" sheetId="5" state="visible" r:id="rId5"/>
    <sheet name="Obligations" sheetId="6" state="visible" r:id="rId6"/>
    <sheet name="Liquidity" sheetId="7" state="visible" r:id="rId7"/>
    <sheet name="Coverage" sheetId="8" state="visible" r:id="rId8"/>
    <sheet name="Stress" sheetId="9" state="visible" r:id="rId9"/>
    <sheet name="Checks" sheetId="10" state="visible" r:id="rId10"/>
  </sheets>
  <definedNames>
    <definedName name="BTC_Held">'Inputs'!$B$6</definedName>
    <definedName name="BTC_AvgCost">'Inputs'!$B$7</definedName>
    <definedName name="BTC_Spot">'Inputs'!$B$8</definedName>
    <definedName name="EURUSD_Spot">'Inputs'!$B$9</definedName>
    <definedName name="MSTR_Shares">'Inputs'!$B$10</definedName>
    <definedName name="MSTR_Price">'Inputs'!$B$11</definedName>
    <definedName name="MSTR_ADV">'Inputs'!$B$12</definedName>
    <definedName name="USD_Reserve">'Inputs'!$B$14</definedName>
    <definedName name="Reserve_Min_Months">'Inputs'!$B$15</definedName>
    <definedName name="USD_Cash">'Inputs'!$B$16</definedName>
    <definedName name="BTC_Monetization_Cap">'Inputs'!$B$17</definedName>
    <definedName name="ATM_MSTR_Remaining">'Inputs'!$B$18</definedName>
    <definedName name="ATM_STRF">'Inputs'!$B$19</definedName>
    <definedName name="ATM_STRC">'Inputs'!$B$20</definedName>
    <definedName name="ATM_STRK">'Inputs'!$B$21</definedName>
    <definedName name="ATM_STRD">'Inputs'!$B$22</definedName>
    <definedName name="Pref_Buyback_Remaining">'Inputs'!$B$23</definedName>
    <definedName name="Debt_Principal">'Inputs'!$B$25</definedName>
    <definedName name="Conv_Coupon_Semi">'Inputs'!$B$26</definedName>
    <definedName name="Other_Debt_Interest">'Inputs'!$B$27</definedName>
    <definedName name="Notional_STRF_In">'Inputs'!$B$29</definedName>
    <definedName name="STRC_Notional_0630">'Inputs'!$B$30</definedName>
    <definedName name="Notional_STRK_In">'Inputs'!$B$31</definedName>
    <definedName name="Notional_STRD_In">'Inputs'!$B$32</definedName>
    <definedName name="Notional_STRE_EUR">'Inputs'!$B$33</definedName>
    <definedName name="STRC_LiqPref">'Inputs'!$B$34</definedName>
    <definedName name="STRC_Repurchased_Shares">'Inputs'!$B$35</definedName>
    <definedName name="STRC_Repurchased_Since_Aug23">'Inputs'!$B$36</definedName>
    <definedName name="STRC_Issued_Shares">'Inputs'!$B$37</definedName>
    <definedName name="Rate_STRF">'Inputs'!$B$38</definedName>
    <definedName name="Rate_STRC_Base">'Inputs'!$B$39</definedName>
    <definedName name="Rate_STRK">'Inputs'!$B$40</definedName>
    <definedName name="Rate_STRD">'Inputs'!$B$41</definedName>
    <definedName name="Rate_STRE">'Inputs'!$B$42</definedName>
    <definedName name="Rank_STRF">'Inputs'!$B$44</definedName>
    <definedName name="Rank_STRC">'Inputs'!$B$45</definedName>
    <definedName name="Rank_STRE">'Inputs'!$B$46</definedName>
    <definedName name="Rank_STRK">'Inputs'!$B$47</definedName>
    <definedName name="Rank_STRD">'Inputs'!$B$48</definedName>
    <definedName name="Participation">'Inputs'!$B$50</definedName>
    <definedName name="Trading_Days">'Inputs'!$B$51</definedName>
    <definedName name="mNAV_Floor">'Inputs'!$B$52</definedName>
    <definedName name="Gate_On">'Inputs'!$B$53</definedName>
    <definedName name="ATM_Binding">'Inputs'!$B$54</definedName>
    <definedName name="Include_USD_Cash">'Inputs'!$B$55</definedName>
    <definedName name="Include_BTC_Monetization">'Inputs'!$B$56</definedName>
    <definedName name="STRK_In_Stock">'Inputs'!$B$57</definedName>
    <definedName name="Target_Years">'Inputs'!$B$58</definedName>
    <definedName name="Display_Cap">'Inputs'!$B$59</definedName>
    <definedName name="Mgmt_Annual_Estimate">'Inputs'!$B$60</definedName>
    <definedName name="Recon_Tolerance">'Inputs'!$B$61</definedName>
    <definedName name="STRC_Shares_Now">'Inputs'!$B$67</definedName>
    <definedName name="STRC_Notional_Now">'Inputs'!$B$68</definedName>
    <definedName name="Conv_Principal_Sched">'Inputs'!$B$78</definedName>
    <definedName name="Conv_Coupon_Sched">'Inputs'!$F$78</definedName>
    <definedName name="Conv_Principals">'Inputs'!$B$72:$B$77</definedName>
    <definedName name="Conv_PutDates">'Inputs'!$E$72:$E$77</definedName>
    <definedName name="Conv_Interest_Annual">'Inputs'!$B$79</definedName>
    <definedName name="L_BTC_Chg">'Scenarios'!$H$5</definedName>
    <definedName name="L_BTC">'Scenarios'!$H$6</definedName>
    <definedName name="L_mNAV">'Scenarios'!$H$7</definedName>
    <definedName name="L_STRC">'Scenarios'!$H$8</definedName>
    <definedName name="L_FX_Chg">'Scenarios'!$H$9</definedName>
    <definedName name="L_EURUSD">'Scenarios'!$H$10</definedName>
    <definedName name="L_ADV_Mult">'Scenarios'!$H$11</definedName>
    <definedName name="L_ADV">'Scenarios'!$H$12</definedName>
    <definedName name="L_Part">'Scenarios'!$H$13</definedName>
    <definedName name="Notional_STRF">'Instruments'!$J$5</definedName>
    <definedName name="Div_STRF">'Instruments'!$K$5</definedName>
    <definedName name="Div_STRF_Cash">'Instruments'!$L$5</definedName>
    <definedName name="Notional_STRC">'Instruments'!$J$6</definedName>
    <definedName name="Div_STRC">'Instruments'!$K$6</definedName>
    <definedName name="Div_STRC_Cash">'Instruments'!$L$6</definedName>
    <definedName name="Notional_STRE">'Instruments'!$J$7</definedName>
    <definedName name="Div_STRE">'Instruments'!$K$7</definedName>
    <definedName name="Div_STRE_Cash">'Instruments'!$L$7</definedName>
    <definedName name="Notional_STRK">'Instruments'!$J$8</definedName>
    <definedName name="Div_STRK">'Instruments'!$K$8</definedName>
    <definedName name="Div_STRK_Cash">'Instruments'!$L$8</definedName>
    <definedName name="Notional_STRD">'Instruments'!$J$9</definedName>
    <definedName name="Div_STRD">'Instruments'!$K$9</definedName>
    <definedName name="Div_STRD_Cash">'Instruments'!$L$9</definedName>
    <definedName name="Pref_Notional_Total">'Instruments'!$J$10</definedName>
    <definedName name="Pref_Div_Total">'Instruments'!$K$10</definedName>
    <definedName name="Pref_Cash_Div_Total">'Instruments'!$L$10</definedName>
    <definedName name="Charges_Total">'Obligations'!$C$11</definedName>
    <definedName name="Claims_Total">'Obligations'!$F$11</definedName>
    <definedName name="Puts_In_Window">'Obligations'!$B$27</definedName>
    <definedName name="Pref_Notional_Spot">'Liquidity'!$B$6</definedName>
    <definedName name="MSTR_MktCap_Now">'Liquidity'!$B$7</definedName>
    <definedName name="EV_Now">'Liquidity'!$B$8</definedName>
    <definedName name="BTC_NAV_Now">'Liquidity'!$B$9</definedName>
    <definedName name="mNAV_Now">'Liquidity'!$B$10</definedName>
    <definedName name="BTC_NAV_Live">'Liquidity'!$B$12</definedName>
    <definedName name="EV_Live">'Liquidity'!$B$13</definedName>
    <definedName name="Cash_For_EV">'Liquidity'!$B$14</definedName>
    <definedName name="MktCap_Live">'Liquidity'!$B$15</definedName>
    <definedName name="MSTR_Price_Live">'Liquidity'!$B$16</definedName>
    <definedName name="BTC_Topup">'Liquidity'!$B$18</definedName>
    <definedName name="Reserve_Live">'Liquidity'!$B$19</definedName>
    <definedName name="Reserve_Headroom">'Liquidity'!$B$20</definedName>
    <definedName name="Dollar_ADV_Live">'Liquidity'!$B$22</definedName>
    <definedName name="Volume_Cap_Year">'Liquidity'!$B$23</definedName>
    <definedName name="Gate_Closed">'Liquidity'!$B$24</definedName>
    <definedName name="Common_Per_Year">'Liquidity'!$B$25</definedName>
    <definedName name="ATM_Cap">'Liquidity'!$B$26</definedName>
    <definedName name="Dilution_Year">'Liquidity'!$B$27</definedName>
    <definedName name="BTC_Per_Year">'Liquidity'!$B$29</definedName>
    <definedName name="BTC_Pct_Year">'Liquidity'!$B$30</definedName>
    <definedName name="BTC_Years">'Liquidity'!$B$31</definedName>
    <definedName name="Cov_Reserve_Months">'Coverage'!$C$10</definedName>
    <definedName name="Cov_Years_Total">'Coverage'!$E$10</definedName>
    <definedName name="BTC_Cover_Total">'Coverage'!$G$10</definedName>
    <definedName name="BE_BTC_1x">'Coverage'!$E$14</definedName>
    <definedName name="BE_BTC_2x">'Coverage'!$E$15</definedName>
    <definedName name="BE_Drawdown_1x">'Coverage'!$E$16</definedName>
    <definedName name="Common_Needed">'Coverage'!$E$17</definedName>
    <definedName name="BE_BTC_Target">'Coverage'!$E$18</definedName>
    <definedName name="BE_mNAV_Gate">'Coverage'!$E$19</definedName>
    <definedName name="Scenario_Select">'Dashboard'!$B$4</definedName>
    <definedName name="Cmp_Years">'Dashboard'!$B$41:$F$41</definedName>
    <definedName name="Cmp_Heads">'Dashboard'!$B$31:$F$31</definedName>
    <definedName name="Checks_Status">'Checks'!$D$22</definedName>
    <definedName name="Recon_Comparable">'Checks'!$B$34</definedName>
  </definedNames>
  <calcPr calcId="124519" fullCalcOnLoad="1"/>
</workbook>
</file>

<file path=xl/styles.xml><?xml version="1.0" encoding="utf-8"?>
<styleSheet xmlns="http://schemas.openxmlformats.org/spreadsheetml/2006/main">
  <numFmts count="15">
    <numFmt numFmtId="164" formatCode="$#,##0;($#,##0);&quot;-&quot;"/>
    <numFmt numFmtId="165" formatCode="0.0000"/>
    <numFmt numFmtId="166" formatCode="#,##0.000"/>
    <numFmt numFmtId="167" formatCode="$#,##0.00"/>
    <numFmt numFmtId="168" formatCode="#,##0.0"/>
    <numFmt numFmtId="169" formatCode="#,##0.0;(#,##0.0);&quot;-&quot;"/>
    <numFmt numFmtId="170" formatCode="0.00%;(0.00%);&quot;-&quot;"/>
    <numFmt numFmtId="171" formatCode="0.0%;(0.0%);&quot;-&quot;"/>
    <numFmt numFmtId="172" formatCode="0.00&quot;x&quot;"/>
    <numFmt numFmtId="173" formatCode="0.000%"/>
    <numFmt numFmtId="174" formatCode="yyyy-mm-dd"/>
    <numFmt numFmtId="175" formatCode="[&gt;=600]&quot;&gt;=600 mo&quot;;0&quot; mo&quot;"/>
    <numFmt numFmtId="176" formatCode="[&gt;=50]&quot;&gt;=50 yrs&quot;;0.0&quot; yrs&quot;"/>
    <numFmt numFmtId="177" formatCode="0.0&quot;x&quot;"/>
    <numFmt numFmtId="178" formatCode="#,##0;(#,##0);&quot;-&quot;"/>
  </numFmts>
  <fonts count="13">
    <font>
      <name val="Calibri"/>
      <family val="2"/>
      <color theme="1"/>
      <sz val="11"/>
      <scheme val="minor"/>
    </font>
    <font>
      <name val="Arial"/>
      <b val="1"/>
      <sz val="16"/>
    </font>
    <font>
      <name val="Arial"/>
      <color rgb="00595959"/>
      <sz val="10"/>
    </font>
    <font>
      <name val="Arial"/>
      <b val="1"/>
      <color rgb="00FFFFFF"/>
      <sz val="10"/>
    </font>
    <font>
      <name val="Arial"/>
      <b val="1"/>
      <sz val="10"/>
    </font>
    <font>
      <name val="Arial"/>
      <color rgb="00000000"/>
      <sz val="10"/>
    </font>
    <font>
      <name val="Arial"/>
      <color rgb="000000FF"/>
      <sz val="10"/>
    </font>
    <font>
      <name val="Arial"/>
      <color rgb="000563C1"/>
      <sz val="9"/>
      <u val="single"/>
    </font>
    <font>
      <name val="Arial"/>
      <i val="1"/>
      <color rgb="00595959"/>
      <sz val="9"/>
    </font>
    <font>
      <name val="Arial"/>
      <color rgb="00008000"/>
      <sz val="10"/>
    </font>
    <font>
      <name val="Arial"/>
      <b val="1"/>
      <sz val="12"/>
    </font>
    <font>
      <name val="Arial"/>
      <b val="1"/>
      <sz val="11"/>
    </font>
    <font>
      <name val="Arial"/>
      <color rgb="000563C1"/>
      <sz val="10"/>
      <u val="single"/>
    </font>
  </fonts>
  <fills count="6">
    <fill>
      <patternFill/>
    </fill>
    <fill>
      <patternFill patternType="gray125"/>
    </fill>
    <fill>
      <patternFill patternType="solid">
        <fgColor rgb="001F2937"/>
      </patternFill>
    </fill>
    <fill>
      <patternFill patternType="solid">
        <fgColor rgb="00E7E6E6"/>
      </patternFill>
    </fill>
    <fill>
      <patternFill patternType="solid">
        <fgColor rgb="00FFFF00"/>
      </patternFill>
    </fill>
    <fill>
      <patternFill patternType="solid">
        <fgColor rgb="00FCE4D6"/>
      </patternFill>
    </fill>
  </fills>
  <borders count="5">
    <border>
      <left/>
      <right/>
      <top/>
      <bottom/>
      <diagonal/>
    </border>
    <border>
      <top style="medium">
        <color rgb="00000000"/>
      </top>
    </border>
    <border>
      <bottom style="thin">
        <color rgb="00BFBFBF"/>
      </bottom>
    </border>
    <border>
      <top style="thin">
        <color rgb="00000000"/>
      </top>
    </border>
    <border>
      <left/>
      <right/>
      <top/>
      <bottom style="thin">
        <color rgb="00BFBFBF"/>
      </bottom>
      <diagonal/>
    </border>
  </borders>
  <cellStyleXfs count="1">
    <xf numFmtId="0" fontId="0" fillId="0" borderId="0"/>
  </cellStyleXfs>
  <cellXfs count="128">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6" fillId="4" borderId="0" applyAlignment="1" pivotButton="0" quotePrefix="0" xfId="0">
      <alignment horizontal="center" vertical="center"/>
    </xf>
    <xf numFmtId="0" fontId="4" fillId="0" borderId="0" applyAlignment="1" pivotButton="0" quotePrefix="0" xfId="0">
      <alignment horizontal="right"/>
    </xf>
    <xf numFmtId="0" fontId="9" fillId="0" borderId="0" applyAlignment="1" pivotButton="0" quotePrefix="0" xfId="0">
      <alignment horizontal="center" vertical="center"/>
    </xf>
    <xf numFmtId="0" fontId="10" fillId="0" borderId="0" applyAlignment="1" pivotButton="0" quotePrefix="0" xfId="0">
      <alignment vertical="top" wrapText="1"/>
    </xf>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5" fillId="0" borderId="2" pivotButton="0" quotePrefix="0" xfId="0"/>
    <xf numFmtId="169" fontId="9" fillId="0" borderId="2" applyAlignment="1" pivotButton="0" quotePrefix="0" xfId="0">
      <alignment horizontal="right"/>
    </xf>
    <xf numFmtId="0" fontId="0" fillId="0" borderId="4" pivotButton="0" quotePrefix="0" xfId="0"/>
    <xf numFmtId="177" fontId="9" fillId="0" borderId="2" applyAlignment="1" pivotButton="0" quotePrefix="0" xfId="0">
      <alignment horizontal="right"/>
    </xf>
    <xf numFmtId="164" fontId="9" fillId="0" borderId="2" applyAlignment="1" pivotButton="0" quotePrefix="0" xfId="0">
      <alignment horizontal="right"/>
    </xf>
    <xf numFmtId="175" fontId="9" fillId="0" borderId="2" applyAlignment="1" pivotButton="0" quotePrefix="0" xfId="0">
      <alignment horizontal="right"/>
    </xf>
    <xf numFmtId="171" fontId="9" fillId="0" borderId="2" applyAlignment="1" pivotButton="0" quotePrefix="0" xfId="0">
      <alignment horizontal="right"/>
    </xf>
    <xf numFmtId="3" fontId="9" fillId="0" borderId="2" applyAlignment="1" pivotButton="0" quotePrefix="0" xfId="0">
      <alignment horizontal="right"/>
    </xf>
    <xf numFmtId="170" fontId="9" fillId="0" borderId="2" applyAlignment="1" pivotButton="0" quotePrefix="0" xfId="0">
      <alignment horizontal="right"/>
    </xf>
    <xf numFmtId="176" fontId="9" fillId="0" borderId="2" applyAlignment="1" pivotButton="0" quotePrefix="0" xfId="0">
      <alignment horizontal="right"/>
    </xf>
    <xf numFmtId="0" fontId="11" fillId="0" borderId="0" pivotButton="0" quotePrefix="0" xfId="0"/>
    <xf numFmtId="0" fontId="9" fillId="0" borderId="2" pivotButton="0" quotePrefix="0" xfId="0"/>
    <xf numFmtId="169" fontId="9" fillId="0" borderId="2" pivotButton="0" quotePrefix="0" xfId="0"/>
    <xf numFmtId="175" fontId="9" fillId="0" borderId="2" pivotButton="0" quotePrefix="0" xfId="0"/>
    <xf numFmtId="176" fontId="9" fillId="0" borderId="2" pivotButton="0" quotePrefix="0" xfId="0"/>
    <xf numFmtId="177" fontId="9" fillId="0" borderId="2" pivotButton="0" quotePrefix="0" xfId="0"/>
    <xf numFmtId="0" fontId="8" fillId="0" borderId="0" pivotButton="0" quotePrefix="0" xfId="0"/>
    <xf numFmtId="164" fontId="5" fillId="0" borderId="2" applyAlignment="1" pivotButton="0" quotePrefix="0" xfId="0">
      <alignment horizontal="right"/>
    </xf>
    <xf numFmtId="172" fontId="5" fillId="0" borderId="2" applyAlignment="1" pivotButton="0" quotePrefix="0" xfId="0">
      <alignment horizontal="right"/>
    </xf>
    <xf numFmtId="170" fontId="5" fillId="0" borderId="2" applyAlignment="1" pivotButton="0" quotePrefix="0" xfId="0">
      <alignment horizontal="right"/>
    </xf>
    <xf numFmtId="169" fontId="5" fillId="0" borderId="2" applyAlignment="1" pivotButton="0" quotePrefix="0" xfId="0">
      <alignment horizontal="right"/>
    </xf>
    <xf numFmtId="178" fontId="5" fillId="0" borderId="2" applyAlignment="1" pivotButton="0" quotePrefix="0" xfId="0">
      <alignment horizontal="right"/>
    </xf>
    <xf numFmtId="0" fontId="4" fillId="0" borderId="2" pivotButton="0" quotePrefix="0" xfId="0"/>
    <xf numFmtId="175" fontId="4" fillId="0" borderId="2" applyAlignment="1" pivotButton="0" quotePrefix="0" xfId="0">
      <alignment horizontal="right"/>
    </xf>
    <xf numFmtId="176" fontId="4" fillId="0" borderId="2" applyAlignment="1" pivotButton="0" quotePrefix="0" xfId="0">
      <alignment horizontal="right"/>
    </xf>
    <xf numFmtId="171" fontId="5" fillId="0" borderId="2" applyAlignment="1" pivotButton="0" quotePrefix="0" xfId="0">
      <alignment horizontal="right"/>
    </xf>
    <xf numFmtId="177" fontId="4" fillId="0" borderId="2" applyAlignment="1" pivotButton="0" quotePrefix="0" xfId="0">
      <alignment horizontal="right"/>
    </xf>
    <xf numFmtId="0" fontId="10" fillId="0" borderId="0" pivotButton="0" quotePrefix="0" xfId="0"/>
    <xf numFmtId="0" fontId="5" fillId="0" borderId="0" applyAlignment="1" pivotButton="0" quotePrefix="0" xfId="0">
      <alignment vertical="top" wrapText="1"/>
    </xf>
    <xf numFmtId="0" fontId="12" fillId="0" borderId="0" pivotButton="0" quotePrefix="0" xfId="0"/>
    <xf numFmtId="0" fontId="4" fillId="3" borderId="0" pivotButton="0" quotePrefix="0" xfId="0"/>
    <xf numFmtId="0" fontId="0" fillId="3" borderId="0" pivotButton="0" quotePrefix="0" xfId="0"/>
    <xf numFmtId="0" fontId="5" fillId="0" borderId="0" pivotButton="0" quotePrefix="0" xfId="0"/>
    <xf numFmtId="3" fontId="6" fillId="0" borderId="0" pivotButton="0" quotePrefix="0" xfId="0"/>
    <xf numFmtId="0" fontId="7" fillId="0" borderId="0" pivotButton="0" quotePrefix="0" xfId="0"/>
    <xf numFmtId="0" fontId="8" fillId="0" borderId="0" applyAlignment="1" pivotButton="0" quotePrefix="0" xfId="0">
      <alignment vertical="top" wrapText="1"/>
    </xf>
    <xf numFmtId="164" fontId="6" fillId="0" borderId="0" pivotButton="0" quotePrefix="0" xfId="0"/>
    <xf numFmtId="164" fontId="6" fillId="4" borderId="0" pivotButton="0" quotePrefix="0" xfId="0"/>
    <xf numFmtId="165" fontId="6" fillId="0" borderId="0" pivotButton="0" quotePrefix="0" xfId="0"/>
    <xf numFmtId="166" fontId="6" fillId="4" borderId="0" pivotButton="0" quotePrefix="0" xfId="0"/>
    <xf numFmtId="167" fontId="6" fillId="4" borderId="0" pivotButton="0" quotePrefix="0" xfId="0"/>
    <xf numFmtId="168" fontId="6" fillId="4" borderId="0" pivotButton="0" quotePrefix="0" xfId="0"/>
    <xf numFmtId="169" fontId="6" fillId="0" borderId="0" pivotButton="0" quotePrefix="0" xfId="0"/>
    <xf numFmtId="1" fontId="6" fillId="0" borderId="0" pivotButton="0" quotePrefix="0" xfId="0"/>
    <xf numFmtId="169" fontId="6" fillId="4" borderId="0" pivotButton="0" quotePrefix="0" xfId="0"/>
    <xf numFmtId="166" fontId="6" fillId="0" borderId="0" pivotButton="0" quotePrefix="0" xfId="0"/>
    <xf numFmtId="170" fontId="6" fillId="0" borderId="0" pivotButton="0" quotePrefix="0" xfId="0"/>
    <xf numFmtId="171" fontId="6" fillId="4" borderId="0" pivotButton="0" quotePrefix="0" xfId="0"/>
    <xf numFmtId="172" fontId="6" fillId="4" borderId="0" pivotButton="0" quotePrefix="0" xfId="0"/>
    <xf numFmtId="1" fontId="6" fillId="4" borderId="0" pivotButton="0" quotePrefix="0" xfId="0"/>
    <xf numFmtId="171" fontId="6" fillId="0" borderId="0" pivotButton="0" quotePrefix="0" xfId="0"/>
    <xf numFmtId="166" fontId="5" fillId="0" borderId="0" pivotButton="0" quotePrefix="0" xfId="0"/>
    <xf numFmtId="166" fontId="4" fillId="0" borderId="1" pivotButton="0" quotePrefix="0" xfId="0"/>
    <xf numFmtId="169" fontId="4" fillId="5" borderId="0" pivotButton="0" quotePrefix="0" xfId="0"/>
    <xf numFmtId="173" fontId="6" fillId="0" borderId="0" pivotButton="0" quotePrefix="0" xfId="0"/>
    <xf numFmtId="174" fontId="6" fillId="0" borderId="0" applyAlignment="1" pivotButton="0" quotePrefix="0" xfId="0">
      <alignment horizontal="left"/>
    </xf>
    <xf numFmtId="169" fontId="5" fillId="0" borderId="0" applyAlignment="1" pivotButton="0" quotePrefix="0" xfId="0">
      <alignment horizontal="left"/>
    </xf>
    <xf numFmtId="169" fontId="4" fillId="0" borderId="1" pivotButton="0" quotePrefix="0" xfId="0"/>
    <xf numFmtId="169" fontId="4" fillId="0" borderId="1" applyAlignment="1" pivotButton="0" quotePrefix="0" xfId="0">
      <alignment horizontal="left"/>
    </xf>
    <xf numFmtId="171" fontId="4" fillId="5" borderId="0" pivotButton="0" quotePrefix="0" xfId="0"/>
    <xf numFmtId="164" fontId="5" fillId="0" borderId="0" pivotButton="0" quotePrefix="0" xfId="0"/>
    <xf numFmtId="164" fontId="4" fillId="5" borderId="0" pivotButton="0" quotePrefix="0" xfId="0"/>
    <xf numFmtId="172" fontId="9" fillId="0" borderId="0" pivotButton="0" quotePrefix="0" xfId="0"/>
    <xf numFmtId="172" fontId="6" fillId="0" borderId="0" pivotButton="0" quotePrefix="0" xfId="0"/>
    <xf numFmtId="172" fontId="4" fillId="5" borderId="0" pivotButton="0" quotePrefix="0" xfId="0"/>
    <xf numFmtId="170" fontId="9" fillId="0" borderId="0" pivotButton="0" quotePrefix="0" xfId="0"/>
    <xf numFmtId="170" fontId="4" fillId="5" borderId="0" pivotButton="0" quotePrefix="0" xfId="0"/>
    <xf numFmtId="165" fontId="5" fillId="0" borderId="0" pivotButton="0" quotePrefix="0" xfId="0"/>
    <xf numFmtId="165" fontId="4" fillId="5" borderId="0" pivotButton="0" quotePrefix="0" xfId="0"/>
    <xf numFmtId="168" fontId="5" fillId="0" borderId="0" pivotButton="0" quotePrefix="0" xfId="0"/>
    <xf numFmtId="168" fontId="4" fillId="5" borderId="0" pivotButton="0" quotePrefix="0" xfId="0"/>
    <xf numFmtId="171" fontId="9" fillId="0" borderId="0" pivotButton="0" quotePrefix="0" xfId="0"/>
    <xf numFmtId="1" fontId="9" fillId="0" borderId="0" applyAlignment="1" pivotButton="0" quotePrefix="0" xfId="0">
      <alignment horizontal="center" vertical="center"/>
    </xf>
    <xf numFmtId="169" fontId="9" fillId="0" borderId="0" pivotButton="0" quotePrefix="0" xfId="0"/>
    <xf numFmtId="169" fontId="5" fillId="0" borderId="0" pivotButton="0" quotePrefix="0" xfId="0"/>
    <xf numFmtId="171" fontId="5" fillId="0" borderId="0" pivotButton="0" quotePrefix="0" xfId="0"/>
    <xf numFmtId="0" fontId="2" fillId="0" borderId="0" applyAlignment="1" pivotButton="0" quotePrefix="0" xfId="0">
      <alignment vertical="top" wrapText="1"/>
    </xf>
    <xf numFmtId="165" fontId="9" fillId="0" borderId="0" pivotButton="0" quotePrefix="0" xfId="0"/>
    <xf numFmtId="0" fontId="2" fillId="0" borderId="0" applyAlignment="1" pivotButton="0" quotePrefix="0" xfId="0">
      <alignment horizontal="right"/>
    </xf>
    <xf numFmtId="171" fontId="4" fillId="0" borderId="1" pivotButton="0" quotePrefix="0" xfId="0"/>
    <xf numFmtId="1" fontId="5" fillId="0" borderId="0" applyAlignment="1" pivotButton="0" quotePrefix="0" xfId="0">
      <alignment horizontal="center" vertical="center"/>
    </xf>
    <xf numFmtId="169" fontId="4" fillId="5" borderId="1" pivotButton="0" quotePrefix="0" xfId="0"/>
    <xf numFmtId="174" fontId="6" fillId="0" borderId="0" applyAlignment="1" pivotButton="0" quotePrefix="0" xfId="0">
      <alignment horizontal="center" vertical="center"/>
    </xf>
    <xf numFmtId="169" fontId="4" fillId="0" borderId="0" pivotButton="0" quotePrefix="0" xfId="0"/>
    <xf numFmtId="0" fontId="5" fillId="0" borderId="0" applyAlignment="1" pivotButton="0" quotePrefix="0" xfId="0">
      <alignment horizontal="center" vertical="center"/>
    </xf>
    <xf numFmtId="169" fontId="5" fillId="0" borderId="0" applyAlignment="1" pivotButton="0" quotePrefix="0" xfId="0">
      <alignment horizontal="right"/>
    </xf>
    <xf numFmtId="172" fontId="4" fillId="5" borderId="0" applyAlignment="1" pivotButton="0" quotePrefix="0" xfId="0">
      <alignment horizontal="right"/>
    </xf>
    <xf numFmtId="167" fontId="5" fillId="0" borderId="0" applyAlignment="1" pivotButton="0" quotePrefix="0" xfId="0">
      <alignment horizontal="right"/>
    </xf>
    <xf numFmtId="169" fontId="4" fillId="5" borderId="0" applyAlignment="1" pivotButton="0" quotePrefix="0" xfId="0">
      <alignment horizontal="right"/>
    </xf>
    <xf numFmtId="0" fontId="5" fillId="0" borderId="0" applyAlignment="1" pivotButton="0" quotePrefix="0" xfId="0">
      <alignment horizontal="right"/>
    </xf>
    <xf numFmtId="170" fontId="5" fillId="0" borderId="0" applyAlignment="1" pivotButton="0" quotePrefix="0" xfId="0">
      <alignment horizontal="right"/>
    </xf>
    <xf numFmtId="3" fontId="5" fillId="0" borderId="0" applyAlignment="1" pivotButton="0" quotePrefix="0" xfId="0">
      <alignment horizontal="right"/>
    </xf>
    <xf numFmtId="170" fontId="4" fillId="5" borderId="0" applyAlignment="1" pivotButton="0" quotePrefix="0" xfId="0">
      <alignment horizontal="right"/>
    </xf>
    <xf numFmtId="168" fontId="5" fillId="0" borderId="0" applyAlignment="1" pivotButton="0" quotePrefix="0" xfId="0">
      <alignment horizontal="right"/>
    </xf>
    <xf numFmtId="0" fontId="9" fillId="0" borderId="0" pivotButton="0" quotePrefix="0" xfId="0"/>
    <xf numFmtId="175" fontId="5" fillId="0" borderId="0" pivotButton="0" quotePrefix="0" xfId="0"/>
    <xf numFmtId="176" fontId="5" fillId="0" borderId="0" pivotButton="0" quotePrefix="0" xfId="0"/>
    <xf numFmtId="176" fontId="4" fillId="5" borderId="0" pivotButton="0" quotePrefix="0" xfId="0"/>
    <xf numFmtId="177" fontId="5" fillId="0" borderId="0" pivotButton="0" quotePrefix="0" xfId="0"/>
    <xf numFmtId="170" fontId="5" fillId="0" borderId="0" pivotButton="0" quotePrefix="0" xfId="0"/>
    <xf numFmtId="164" fontId="4" fillId="5" borderId="0" applyAlignment="1" pivotButton="0" quotePrefix="0" xfId="0">
      <alignment horizontal="right"/>
    </xf>
    <xf numFmtId="171" fontId="4" fillId="5" borderId="0" applyAlignment="1" pivotButton="0" quotePrefix="0" xfId="0">
      <alignment horizontal="right"/>
    </xf>
    <xf numFmtId="172" fontId="6" fillId="0" borderId="2" applyAlignment="1" pivotButton="0" quotePrefix="0" xfId="0">
      <alignment horizontal="center" vertical="center"/>
    </xf>
    <xf numFmtId="178" fontId="5" fillId="0" borderId="0" applyAlignment="1" pivotButton="0" quotePrefix="0" xfId="0">
      <alignment horizontal="center" vertical="center"/>
    </xf>
    <xf numFmtId="164" fontId="9" fillId="5" borderId="3" pivotButton="0" quotePrefix="0" xfId="0"/>
    <xf numFmtId="178" fontId="5" fillId="0" borderId="3" applyAlignment="1" pivotButton="0" quotePrefix="0" xfId="0">
      <alignment horizontal="center" vertical="center"/>
    </xf>
    <xf numFmtId="176" fontId="5" fillId="0" borderId="0" applyAlignment="1" pivotButton="0" quotePrefix="0" xfId="0">
      <alignment horizontal="center" vertical="center"/>
    </xf>
    <xf numFmtId="176" fontId="5" fillId="0" borderId="3" applyAlignment="1" pivotButton="0" quotePrefix="0" xfId="0">
      <alignment horizontal="center" vertical="center"/>
    </xf>
    <xf numFmtId="171" fontId="5" fillId="0" borderId="0" applyAlignment="1" pivotButton="0" quotePrefix="0" xfId="0">
      <alignment horizontal="center" vertical="center"/>
    </xf>
    <xf numFmtId="171" fontId="5" fillId="0" borderId="3" applyAlignment="1" pivotButton="0" quotePrefix="0" xfId="0">
      <alignment horizontal="center" vertical="center"/>
    </xf>
    <xf numFmtId="177" fontId="5" fillId="0" borderId="0" applyAlignment="1" pivotButton="0" quotePrefix="0" xfId="0">
      <alignment horizontal="center" vertical="center"/>
    </xf>
    <xf numFmtId="3" fontId="5" fillId="0" borderId="0" applyAlignment="1" pivotButton="0" quotePrefix="0" xfId="0">
      <alignment horizontal="center" vertical="center"/>
    </xf>
    <xf numFmtId="170" fontId="5" fillId="0" borderId="0" applyAlignment="1" pivotButton="0" quotePrefix="0" xfId="0">
      <alignment horizontal="center" vertical="center"/>
    </xf>
    <xf numFmtId="168" fontId="5" fillId="0" borderId="0" applyAlignment="1" pivotButton="0" quotePrefix="0" xfId="0">
      <alignment horizontal="center" vertical="center"/>
    </xf>
    <xf numFmtId="4" fontId="6" fillId="0" borderId="2" applyAlignment="1" pivotButton="0" quotePrefix="0" xfId="0">
      <alignment horizontal="center" vertical="center"/>
    </xf>
    <xf numFmtId="175" fontId="5" fillId="0" borderId="0" applyAlignment="1" pivotButton="0" quotePrefix="0" xfId="0">
      <alignment horizontal="center" vertical="center"/>
    </xf>
    <xf numFmtId="4" fontId="5" fillId="0" borderId="0" pivotButton="0" quotePrefix="0" xfId="0"/>
    <xf numFmtId="0" fontId="4" fillId="0" borderId="0" applyAlignment="1" pivotButton="0" quotePrefix="0" xfId="0">
      <alignment horizontal="center" vertical="center"/>
    </xf>
  </cellXfs>
  <cellStyles count="1">
    <cellStyle name="Normal" xfId="0" builtinId="0" hidden="0"/>
  </cellStyles>
  <dxfs count="7">
    <dxf>
      <font>
        <name val="Arial"/>
        <b val="1"/>
        <color rgb="00006100"/>
        <sz val="10"/>
      </font>
      <fill>
        <patternFill patternType="solid">
          <fgColor rgb="00C6EFCE"/>
        </patternFill>
      </fill>
    </dxf>
    <dxf>
      <font>
        <name val="Arial"/>
        <b val="1"/>
        <color rgb="009C0006"/>
        <sz val="10"/>
      </font>
      <fill>
        <patternFill patternType="solid">
          <fgColor rgb="00F4CCCC"/>
        </patternFill>
      </fill>
    </dxf>
    <dxf>
      <fill>
        <patternFill patternType="solid">
          <fgColor rgb="00FFF2CC"/>
        </patternFill>
      </fill>
    </dxf>
    <dxf>
      <fill>
        <patternFill patternType="solid">
          <fgColor rgb="00F4CCCC"/>
        </patternFill>
      </fill>
    </dxf>
    <dxf>
      <font>
        <name val="Arial"/>
        <b val="1"/>
        <color rgb="00000000"/>
        <sz val="10"/>
      </font>
      <fill>
        <patternFill patternType="solid">
          <fgColor rgb="00FFFF00"/>
        </patternFill>
      </fill>
    </dxf>
    <dxf>
      <font>
        <name val="Arial"/>
        <b val="1"/>
        <color rgb="007F6000"/>
        <sz val="10"/>
      </font>
      <fill>
        <patternFill patternType="solid">
          <fgColor rgb="00FFF2CC"/>
        </patternFill>
      </fill>
    </dxf>
    <dxf>
      <font>
        <name val="Arial"/>
        <i val="1"/>
        <color rgb="00595959"/>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2"/>
  <chart>
    <title>
      <tx>
        <rich>
          <a:bodyPr/>
          <a:p>
            <a:pPr>
              <a:defRPr/>
            </a:pPr>
            <a:r>
              <a:t>Annual cash charges by claim ($m)</a:t>
            </a:r>
          </a:p>
        </rich>
      </tx>
    </title>
    <plotArea>
      <barChart>
        <barDir val="bar"/>
        <grouping val="clustered"/>
        <ser>
          <idx val="0"/>
          <order val="0"/>
          <spPr>
            <a:solidFill>
              <a:srgbClr val="7F7F7F"/>
            </a:solidFill>
            <a:ln>
              <a:solidFill>
                <a:srgbClr val="000000"/>
              </a:solidFill>
              <a:prstDash val="solid"/>
            </a:ln>
          </spPr>
          <cat>
            <numRef>
              <f>'Obligations'!$A$5:$A$10</f>
            </numRef>
          </cat>
          <val>
            <numRef>
              <f>'Obligations'!$C$5:$C$10</f>
            </numRef>
          </val>
        </ser>
        <dLbls>
          <numFmt formatCode="#,##0"/>
          <dLblPos val="outEnd"/>
          <showLegendKey val="0"/>
          <showVal val="1"/>
          <showCatName val="0"/>
          <showSerName val="0"/>
        </dLbls>
        <gapWidth val="150"/>
        <axId val="10"/>
        <axId val="100"/>
      </barChart>
      <catAx>
        <axId val="10"/>
        <scaling>
          <orientation val="maxMin"/>
        </scaling>
        <delete val="0"/>
        <axPos val="l"/>
        <majorTickMark val="none"/>
        <minorTickMark val="none"/>
        <crossAx val="100"/>
        <lblOffset val="100"/>
      </catAx>
      <valAx>
        <axId val="100"/>
        <scaling>
          <orientation val="minMax"/>
          <min val="0"/>
        </scaling>
        <delete val="0"/>
        <axPos val="l"/>
        <numFmt formatCode="#,##0" sourceLinked="0"/>
        <majorTickMark val="none"/>
        <minorTickMark val="none"/>
        <crossAx val="10"/>
        <crosses val="max"/>
      </valAx>
    </plotArea>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Dilution to fund a year of charges</a:t>
            </a:r>
          </a:p>
        </rich>
      </tx>
    </title>
    <plotArea>
      <scatterChart>
        <ser>
          <idx val="0"/>
          <order val="0"/>
          <tx>
            <strRef>
              <f>'Stress'!B73</f>
            </strRef>
          </tx>
          <spPr>
            <a:ln w="28000">
              <a:solidFill>
                <a:srgbClr val="000000"/>
              </a:solidFill>
              <a:prstDash val="solid"/>
            </a:ln>
          </spPr>
          <marker>
            <symbol val="none"/>
            <spPr>
              <a:ln>
                <a:prstDash val="solid"/>
              </a:ln>
            </spPr>
          </marker>
          <xVal>
            <numRef>
              <f>'Stress'!$A$74:$A$82</f>
            </numRef>
          </xVal>
          <yVal>
            <numRef>
              <f>'Stress'!$B$74:$B$82</f>
            </numRef>
          </yVal>
          <smooth val="0"/>
        </ser>
        <ser>
          <idx val="1"/>
          <order val="1"/>
          <tx>
            <strRef>
              <f>'Stress'!C73</f>
            </strRef>
          </tx>
          <spPr>
            <a:ln w="16000">
              <a:solidFill>
                <a:srgbClr val="595959"/>
              </a:solidFill>
              <a:prstDash val="solid"/>
            </a:ln>
          </spPr>
          <marker>
            <symbol val="none"/>
            <spPr>
              <a:ln>
                <a:prstDash val="solid"/>
              </a:ln>
            </spPr>
          </marker>
          <xVal>
            <numRef>
              <f>'Stress'!$A$74:$A$82</f>
            </numRef>
          </xVal>
          <yVal>
            <numRef>
              <f>'Stress'!$C$74:$C$82</f>
            </numRef>
          </yVal>
          <smooth val="0"/>
        </ser>
        <ser>
          <idx val="2"/>
          <order val="2"/>
          <tx>
            <strRef>
              <f>'Stress'!D73</f>
            </strRef>
          </tx>
          <spPr>
            <a:ln w="16000">
              <a:solidFill>
                <a:srgbClr val="8C8C8C"/>
              </a:solidFill>
              <a:prstDash val="solid"/>
            </a:ln>
          </spPr>
          <marker>
            <symbol val="none"/>
            <spPr>
              <a:ln>
                <a:prstDash val="solid"/>
              </a:ln>
            </spPr>
          </marker>
          <xVal>
            <numRef>
              <f>'Stress'!$A$74:$A$82</f>
            </numRef>
          </xVal>
          <yVal>
            <numRef>
              <f>'Stress'!$D$74:$D$82</f>
            </numRef>
          </yVal>
          <smooth val="0"/>
        </ser>
        <ser>
          <idx val="3"/>
          <order val="3"/>
          <tx>
            <strRef>
              <f>'Stress'!E73</f>
            </strRef>
          </tx>
          <spPr>
            <a:ln w="16000">
              <a:solidFill>
                <a:srgbClr val="BFBFBF"/>
              </a:solidFill>
              <a:prstDash val="solid"/>
            </a:ln>
          </spPr>
          <marker>
            <symbol val="none"/>
            <spPr>
              <a:ln>
                <a:prstDash val="solid"/>
              </a:ln>
            </spPr>
          </marker>
          <xVal>
            <numRef>
              <f>'Stress'!$A$74:$A$82</f>
            </numRef>
          </xVal>
          <yVal>
            <numRef>
              <f>'Stress'!$E$74:$E$82</f>
            </numRef>
          </yVal>
          <smooth val="0"/>
        </ser>
        <axId val="10"/>
        <axId val="20"/>
      </scatterChart>
      <valAx>
        <axId val="10"/>
        <scaling>
          <orientation val="minMax"/>
          <max val="200000"/>
          <min val="0"/>
        </scaling>
        <delete val="0"/>
        <axPos val="l"/>
        <title>
          <tx>
            <rich>
              <a:bodyPr/>
              <a:p>
                <a:pPr>
                  <a:defRPr/>
                </a:pPr>
                <a:r>
                  <a:t>BTC price ($)</a:t>
                </a:r>
              </a:p>
            </rich>
          </tx>
        </title>
        <numFmt formatCode="$#,##0" sourceLinked="0"/>
        <majorTickMark val="none"/>
        <minorTickMark val="none"/>
        <crossAx val="20"/>
      </valAx>
      <valAx>
        <axId val="20"/>
        <scaling>
          <orientation val="minMax"/>
          <min val="0"/>
        </scaling>
        <delete val="0"/>
        <axPos val="l"/>
        <title>
          <tx>
            <rich>
              <a:bodyPr/>
              <a:p>
                <a:pPr>
                  <a:defRPr/>
                </a:pPr>
                <a:r>
                  <a:t>% of MSTR shares</a:t>
                </a:r>
              </a:p>
            </rich>
          </tx>
        </title>
        <numFmt formatCode="0%"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USD Reserve by quarter ($m, live)</a:t>
            </a:r>
          </a:p>
        </rich>
      </tx>
    </title>
    <plotArea>
      <barChart>
        <barDir val="col"/>
        <grouping val="clustered"/>
        <ser>
          <idx val="0"/>
          <order val="0"/>
          <spPr>
            <a:solidFill>
              <a:srgbClr val="FFC000"/>
            </a:solidFill>
            <a:ln>
              <a:solidFill>
                <a:srgbClr val="000000"/>
              </a:solidFill>
              <a:prstDash val="solid"/>
            </a:ln>
          </spPr>
          <cat>
            <numRef>
              <f>'Obligations'!$B$15:$I$15</f>
            </numRef>
          </cat>
          <val>
            <numRef>
              <f>'Obligations'!$B$23:$I$23</f>
            </numRef>
          </val>
        </ser>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2</row>
      <rowOff>0</rowOff>
    </from>
    <ext cx="5580000" cy="2592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18</row>
      <rowOff>0</rowOff>
    </from>
    <ext cx="558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35</row>
      <rowOff>0</rowOff>
    </from>
    <ext cx="5580000" cy="2592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www.sec.gov/Archives/edgar/data/1050446/000119312526419726/mstr-ex99_1.htm" TargetMode="External" Id="rId1" /><Relationship Type="http://schemas.openxmlformats.org/officeDocument/2006/relationships/hyperlink" Target="https://www.sec.gov/Archives/edgar/data/0001050446/000105044626000044/mstr-20260630.htm" TargetMode="External" Id="rId2" /><Relationship Type="http://schemas.openxmlformats.org/officeDocument/2006/relationships/hyperlink" Target="https://www.sec.gov/Archives/edgar/data/1050446/000119312526423400/mstr-20261015.htm" TargetMode="External" Id="rId3" /><Relationship Type="http://schemas.openxmlformats.org/officeDocument/2006/relationships/hyperlink" Target="https://www.sec.gov/Archives/edgar/data/1050446/000119312526286871/mstr-20260629.htm" TargetMode="External" Id="rId4" /><Relationship Type="http://schemas.openxmlformats.org/officeDocument/2006/relationships/hyperlink" Target="https://www.sec.gov/Archives/edgar/data/1050446/000119312526384402/mstr-20260831.htm" TargetMode="External" Id="rId5" /><Relationship Type="http://schemas.openxmlformats.org/officeDocument/2006/relationships/hyperlink" Target="https://www.sec.gov/Archives/edgar/data/1050446/000119312526363557/d431748dfwp.htm" TargetMode="External" Id="rId6" /><Relationship Type="http://schemas.openxmlformats.org/officeDocument/2006/relationships/hyperlink" Target="https://www.sec.gov/Archives/edgar/data/1050446/000119312526270366/d144149dex31.htm" TargetMode="External" Id="rId7" /><Relationship Type="http://schemas.openxmlformats.org/officeDocument/2006/relationships/hyperlink" Target="https://www.sec.gov/Archives/edgar/data/1050446/000119312525280178/d205736dex31.htm" TargetMode="External" Id="rId8" /><Relationship Type="http://schemas.openxmlformats.org/officeDocument/2006/relationships/hyperlink" Target="https://www.sec.gov/Archives/edgar/data/1050446/000105044626000020/ex42descriptionofregistere.htm" TargetMode="External" Id="rId9" /><Relationship Type="http://schemas.openxmlformats.org/officeDocument/2006/relationships/hyperlink" Target="https://www.sec.gov/Archives/edgar/data/1050446/000119312526413159/d503578ddef14a.htm" TargetMode="External" Id="rId10" /><Relationship Type="http://schemas.openxmlformats.org/officeDocument/2006/relationships/hyperlink" Target="https://www.sec.gov/Archives/edgar/data/1050446/000119312526377583/mstr-20260831.htm" TargetMode="External" Id="rId11" /><Relationship Type="http://schemas.openxmlformats.org/officeDocument/2006/relationships/hyperlink" Target="https://www.ecb.europa.eu/stats/policy_and_exchange_rates/euro_reference_exchange_rates/html/eurofxref-graph-usd.en.html" TargetMode="External" Id="rId12" /><Relationship Type="http://schemas.openxmlformats.org/officeDocument/2006/relationships/hyperlink" Target="https://finance.yahoo.com/quote/MSTR/history" TargetMode="External" Id="rId13" /></Relationships>
</file>

<file path=xl/worksheets/_rels/sheet3.xml.rels><Relationships xmlns="http://schemas.openxmlformats.org/package/2006/relationships"><Relationship Type="http://schemas.openxmlformats.org/officeDocument/2006/relationships/hyperlink" Target="https://www.sec.gov/Archives/edgar/data/1050446/000119312526419726/mstr-ex99_1.htm" TargetMode="External" Id="rId1" /><Relationship Type="http://schemas.openxmlformats.org/officeDocument/2006/relationships/hyperlink" Target="https://www.sec.gov/Archives/edgar/data/1050446/000119312526419726/mstr-ex99_1.htm" TargetMode="External" Id="rId2" /><Relationship Type="http://schemas.openxmlformats.org/officeDocument/2006/relationships/hyperlink" Target="https://api.exchange.coinbase.com/products/BTC-USD/candles" TargetMode="External" Id="rId3" /><Relationship Type="http://schemas.openxmlformats.org/officeDocument/2006/relationships/hyperlink" Target="https://www.ecb.europa.eu/stats/policy_and_exchange_rates/euro_reference_exchange_rates/html/eurofxref-graph-usd.en.html" TargetMode="External" Id="rId4" /><Relationship Type="http://schemas.openxmlformats.org/officeDocument/2006/relationships/hyperlink" Target="https://www.sec.gov/Archives/edgar/data/0001050446/000105044626000044/mstr-20260630.htm" TargetMode="External" Id="rId5" /><Relationship Type="http://schemas.openxmlformats.org/officeDocument/2006/relationships/hyperlink" Target="https://finance.yahoo.com/quote/MSTR/history" TargetMode="External" Id="rId6" /><Relationship Type="http://schemas.openxmlformats.org/officeDocument/2006/relationships/hyperlink" Target="https://finance.yahoo.com/quote/MSTR/history" TargetMode="External" Id="rId7" /><Relationship Type="http://schemas.openxmlformats.org/officeDocument/2006/relationships/hyperlink" Target="https://www.sec.gov/Archives/edgar/data/1050446/000119312526419726/mstr-ex99_1.htm" TargetMode="External" Id="rId8" /><Relationship Type="http://schemas.openxmlformats.org/officeDocument/2006/relationships/hyperlink" Target="https://www.sec.gov/Archives/edgar/data/1050446/000119312526286871/mstr-20260629.htm" TargetMode="External" Id="rId9" /><Relationship Type="http://schemas.openxmlformats.org/officeDocument/2006/relationships/hyperlink" Target="https://www.sec.gov/Archives/edgar/data/1050446/000119312526419726/mstr-ex99_1.htm" TargetMode="External" Id="rId10" /><Relationship Type="http://schemas.openxmlformats.org/officeDocument/2006/relationships/hyperlink" Target="https://www.sec.gov/Archives/edgar/data/1050446/000119312526286871/mstr-20260629.htm" TargetMode="External" Id="rId11" /><Relationship Type="http://schemas.openxmlformats.org/officeDocument/2006/relationships/hyperlink" Target="https://www.sec.gov/Archives/edgar/data/1050446/000119312526419726/mstr-ex99_1.htm" TargetMode="External" Id="rId12" /><Relationship Type="http://schemas.openxmlformats.org/officeDocument/2006/relationships/hyperlink" Target="https://www.sec.gov/Archives/edgar/data/1050446/000119312526419726/mstr-ex99_1.htm" TargetMode="External" Id="rId13" /><Relationship Type="http://schemas.openxmlformats.org/officeDocument/2006/relationships/hyperlink" Target="https://www.sec.gov/Archives/edgar/data/1050446/000119312526419726/mstr-ex99_1.htm" TargetMode="External" Id="rId14" /><Relationship Type="http://schemas.openxmlformats.org/officeDocument/2006/relationships/hyperlink" Target="https://www.sec.gov/Archives/edgar/data/1050446/000119312526419726/mstr-ex99_1.htm" TargetMode="External" Id="rId15" /><Relationship Type="http://schemas.openxmlformats.org/officeDocument/2006/relationships/hyperlink" Target="https://www.sec.gov/Archives/edgar/data/1050446/000119312526419726/mstr-ex99_1.htm" TargetMode="External" Id="rId16" /><Relationship Type="http://schemas.openxmlformats.org/officeDocument/2006/relationships/hyperlink" Target="https://www.sec.gov/Archives/edgar/data/1050446/000119312526419726/mstr-ex99_1.htm" TargetMode="External" Id="rId17" /><Relationship Type="http://schemas.openxmlformats.org/officeDocument/2006/relationships/hyperlink" Target="https://www.sec.gov/Archives/edgar/data/0001050446/000105044626000044/mstr-20260630.htm" TargetMode="External" Id="rId18" /><Relationship Type="http://schemas.openxmlformats.org/officeDocument/2006/relationships/hyperlink" Target="https://www.sec.gov/Archives/edgar/data/0001050446/000105044626000044/mstr-20260630.htm" TargetMode="External" Id="rId19" /><Relationship Type="http://schemas.openxmlformats.org/officeDocument/2006/relationships/hyperlink" Target="https://www.sec.gov/Archives/edgar/data/0001050446/000105044626000044/mstr-20260630.htm" TargetMode="External" Id="rId20" /><Relationship Type="http://schemas.openxmlformats.org/officeDocument/2006/relationships/hyperlink" Target="https://www.sec.gov/Archives/edgar/data/0001050446/000105044626000044/mstr-20260630.htm" TargetMode="External" Id="rId21" /><Relationship Type="http://schemas.openxmlformats.org/officeDocument/2006/relationships/hyperlink" Target="https://www.sec.gov/Archives/edgar/data/0001050446/000105044626000044/mstr-20260630.htm" TargetMode="External" Id="rId22" /><Relationship Type="http://schemas.openxmlformats.org/officeDocument/2006/relationships/hyperlink" Target="https://www.sec.gov/Archives/edgar/data/0001050446/000105044626000044/mstr-20260630.htm" TargetMode="External" Id="rId23" /><Relationship Type="http://schemas.openxmlformats.org/officeDocument/2006/relationships/hyperlink" Target="https://www.sec.gov/Archives/edgar/data/0001050446/000105044626000044/mstr-20260630.htm" TargetMode="External" Id="rId24" /><Relationship Type="http://schemas.openxmlformats.org/officeDocument/2006/relationships/hyperlink" Target="https://www.sec.gov/Archives/edgar/data/0001050446/000105044626000044/mstr-20260630.htm" TargetMode="External" Id="rId25" /><Relationship Type="http://schemas.openxmlformats.org/officeDocument/2006/relationships/hyperlink" Target="https://www.sec.gov/Archives/edgar/data/0001050446/000105044626000044/mstr-20260630.htm" TargetMode="External" Id="rId26" /><Relationship Type="http://schemas.openxmlformats.org/officeDocument/2006/relationships/hyperlink" Target="https://www.sec.gov/Archives/edgar/data/1050446/000119312526419726/mstr-ex99_1.htm" TargetMode="External" Id="rId27" /><Relationship Type="http://schemas.openxmlformats.org/officeDocument/2006/relationships/hyperlink" Target="https://www.sec.gov/Archives/edgar/data/1050446/000119312526419726/mstr-ex99_1.htm" TargetMode="External" Id="rId28" /><Relationship Type="http://schemas.openxmlformats.org/officeDocument/2006/relationships/hyperlink" Target="https://www.sec.gov/Archives/edgar/data/1050446/000119312526419726/mstr-ex99_1.htm" TargetMode="External" Id="rId29" /><Relationship Type="http://schemas.openxmlformats.org/officeDocument/2006/relationships/hyperlink" Target="https://www.sec.gov/Archives/edgar/data/0001050446/000105044626000044/mstr-20260630.htm" TargetMode="External" Id="rId30" /><Relationship Type="http://schemas.openxmlformats.org/officeDocument/2006/relationships/hyperlink" Target="https://www.sec.gov/Archives/edgar/data/1050446/000119312526423400/mstr-20261015.htm" TargetMode="External" Id="rId31" /><Relationship Type="http://schemas.openxmlformats.org/officeDocument/2006/relationships/hyperlink" Target="https://www.sec.gov/Archives/edgar/data/0001050446/000105044626000044/mstr-20260630.htm" TargetMode="External" Id="rId32" /><Relationship Type="http://schemas.openxmlformats.org/officeDocument/2006/relationships/hyperlink" Target="https://www.sec.gov/Archives/edgar/data/0001050446/000105044626000044/mstr-20260630.htm" TargetMode="External" Id="rId33" /><Relationship Type="http://schemas.openxmlformats.org/officeDocument/2006/relationships/hyperlink" Target="https://www.sec.gov/Archives/edgar/data/0001050446/000105044626000044/mstr-20260630.htm" TargetMode="External" Id="rId34" /><Relationship Type="http://schemas.openxmlformats.org/officeDocument/2006/relationships/hyperlink" Target="https://www.sec.gov/Archives/edgar/data/0001050446/000105044626000044/mstr-20260630.htm" TargetMode="External" Id="rId35" /><Relationship Type="http://schemas.openxmlformats.org/officeDocument/2006/relationships/hyperlink" Target="https://www.sec.gov/Archives/edgar/data/1050446/000119312526270366/d144149dex31.htm" TargetMode="External" Id="rId36" /><Relationship Type="http://schemas.openxmlformats.org/officeDocument/2006/relationships/hyperlink" Target="https://www.sec.gov/Archives/edgar/data/1050446/000119312525280178/d205736dex31.htm" TargetMode="External" Id="rId37" /><Relationship Type="http://schemas.openxmlformats.org/officeDocument/2006/relationships/hyperlink" Target="https://www.sec.gov/Archives/edgar/data/1050446/000105044626000020/ex42descriptionofregistere.htm" TargetMode="External" Id="rId38" /><Relationship Type="http://schemas.openxmlformats.org/officeDocument/2006/relationships/hyperlink" Target="https://www.sec.gov/Archives/edgar/data/1050446/000105044626000020/ex42descriptionofregistere.htm" TargetMode="External" Id="rId39" /><Relationship Type="http://schemas.openxmlformats.org/officeDocument/2006/relationships/hyperlink" Target="https://www.sec.gov/Archives/edgar/data/1050446/000119312526363557/d431748dfwp.htm" TargetMode="External" Id="rId40" /></Relationships>
</file>

<file path=xl/worksheets/sheet1.xml><?xml version="1.0" encoding="utf-8"?>
<worksheet xmlns="http://schemas.openxmlformats.org/spreadsheetml/2006/main">
  <sheetPr>
    <tabColor rgb="00FFC000"/>
    <outlinePr summaryBelow="1" summaryRight="1"/>
    <pageSetUpPr fitToPage="1"/>
  </sheetPr>
  <dimension ref="A1:F44"/>
  <sheetViews>
    <sheetView showGridLines="0" workbookViewId="0">
      <pane ySplit="5" topLeftCell="A6" activePane="bottomLeft" state="frozen"/>
      <selection pane="bottomLeft" activeCell="A1" sqref="A1"/>
    </sheetView>
  </sheetViews>
  <sheetFormatPr baseColWidth="8" defaultRowHeight="15"/>
  <cols>
    <col width="44" customWidth="1" min="1" max="1"/>
    <col width="15" customWidth="1" min="2" max="2"/>
    <col width="15" customWidth="1" min="3" max="3"/>
    <col width="17" customWidth="1" min="4" max="4"/>
    <col width="17" customWidth="1" min="5" max="5"/>
    <col width="15" customWidth="1" min="6" max="6"/>
    <col width="3" customWidth="1" min="7" max="7"/>
  </cols>
  <sheetData>
    <row r="1">
      <c r="A1" s="1" t="inlineStr">
        <is>
          <t>Can Strategy keep paying its preferreds?</t>
        </is>
      </c>
    </row>
    <row r="2">
      <c r="A2" s="2" t="inlineStr">
        <is>
          <t>Coverage of STRF, STRC, STRE, STRK and STRD from the USD Reserve, common stock sales and bitcoin. Public filings only; not investment advice.</t>
        </is>
      </c>
    </row>
    <row r="4">
      <c r="A4" s="3" t="inlineStr">
        <is>
          <t>Scenario (pick one)</t>
        </is>
      </c>
      <c r="B4" s="4" t="inlineStr">
        <is>
          <t>Base</t>
        </is>
      </c>
      <c r="D4" s="5" t="inlineStr">
        <is>
          <t>Model checks</t>
        </is>
      </c>
      <c r="E4" s="6">
        <f>Checks_Status</f>
        <v/>
      </c>
    </row>
    <row r="5">
      <c r="A5" s="2">
        <f>"Live: BTC $"&amp;TEXT(L_BTC,"#,##0")&amp;" | mNAV "&amp;TEXT(L_mNAV,"0.00")&amp;"x | STRC "&amp;TEXT(L_STRC,"0.0%")&amp;" | EUR/USD "&amp;TEXT(L_EURUSD,"0.0000")&amp;" | market data as of 2026-10-15"</f>
        <v/>
      </c>
    </row>
    <row r="7" ht="18" customHeight="1">
      <c r="A7" s="7">
        <f>"Annual cash charges are $"&amp;TEXT(Charges_Total,"#,##0")&amp;"m, "&amp;TEXT(Div_STRC_Cash/Charges_Total,"0%")&amp;" of it STRC. The Reserve alone covers "&amp;TEXT(Cov_Reserve_Months,"0")&amp;" months. "&amp;IF(Gate_Closed,"Below the "&amp;TEXT(mNAV_Floor,"0.0")&amp;"x mNAV floor no common stock is sold, so that is all the cover there is.","With common stock sales: "&amp;IF(Cov_Years_Total&gt;=Display_Cap,"self-funding.",TEXT(Cov_Years_Total,"0.0")&amp;" years."))&amp;" Bitcoin covers debt + preferred "&amp;TEXT(BTC_Cover_Total,"0.0")&amp;"x and would have to fall to $"&amp;TEXT(BE_BTC_1x,"#,##0")&amp;" for 1.0x."</f>
        <v/>
      </c>
    </row>
    <row r="8" ht="18" customHeight="1"/>
    <row r="9" ht="18" customHeight="1"/>
    <row r="11">
      <c r="A11" s="8" t="inlineStr">
        <is>
          <t>Cash and stock</t>
        </is>
      </c>
      <c r="B11" s="9" t="inlineStr">
        <is>
          <t>Live</t>
        </is>
      </c>
      <c r="D11" s="8" t="inlineStr">
        <is>
          <t>Bitcoin and debt</t>
        </is>
      </c>
      <c r="E11" s="9" t="inlineStr"/>
      <c r="F11" s="9" t="inlineStr">
        <is>
          <t>Live</t>
        </is>
      </c>
    </row>
    <row r="12">
      <c r="A12" s="10" t="inlineStr">
        <is>
          <t>Annual cash fixed charges ($m)</t>
        </is>
      </c>
      <c r="B12" s="11">
        <f>Charges_Total</f>
        <v/>
      </c>
      <c r="D12" s="10" t="inlineStr">
        <is>
          <t>Bitcoin cover of debt + preferred</t>
        </is>
      </c>
      <c r="E12" s="12" t="n"/>
      <c r="F12" s="13">
        <f>BTC_Cover_Total</f>
        <v/>
      </c>
    </row>
    <row r="13">
      <c r="A13" s="10" t="inlineStr">
        <is>
          <t>USD Reserve available ($m)</t>
        </is>
      </c>
      <c r="B13" s="11">
        <f>Reserve_Live</f>
        <v/>
      </c>
      <c r="D13" s="10" t="inlineStr">
        <is>
          <t>BTC price where cover = 1.0x</t>
        </is>
      </c>
      <c r="E13" s="12" t="n"/>
      <c r="F13" s="14">
        <f>BE_BTC_1x</f>
        <v/>
      </c>
    </row>
    <row r="14">
      <c r="A14" s="10" t="inlineStr">
        <is>
          <t>Reserve alone covers</t>
        </is>
      </c>
      <c r="B14" s="15">
        <f>Cov_Reserve_Months</f>
        <v/>
      </c>
      <c r="D14" s="10" t="inlineStr">
        <is>
          <t>Fall from live BTC price to 1.0x</t>
        </is>
      </c>
      <c r="E14" s="12" t="n"/>
      <c r="F14" s="16">
        <f>BE_Drawdown_1x</f>
        <v/>
      </c>
    </row>
    <row r="15">
      <c r="A15" s="10" t="inlineStr">
        <is>
          <t>Headroom above 12-month policy ($m)</t>
        </is>
      </c>
      <c r="B15" s="11">
        <f>Reserve_Headroom</f>
        <v/>
      </c>
      <c r="D15" s="10" t="inlineStr">
        <is>
          <t>BTC to sell for one year of charges</t>
        </is>
      </c>
      <c r="E15" s="12" t="n"/>
      <c r="F15" s="17">
        <f>BTC_Per_Year</f>
        <v/>
      </c>
    </row>
    <row r="16">
      <c r="A16" s="10" t="inlineStr">
        <is>
          <t>Common stock sales capacity per year ($m)</t>
        </is>
      </c>
      <c r="B16" s="11">
        <f>Common_Per_Year</f>
        <v/>
      </c>
      <c r="D16" s="10" t="inlineStr">
        <is>
          <t>...as a share of holdings</t>
        </is>
      </c>
      <c r="E16" s="12" t="n"/>
      <c r="F16" s="18">
        <f>BTC_Pct_Year</f>
        <v/>
      </c>
    </row>
    <row r="17">
      <c r="A17" s="10" t="inlineStr">
        <is>
          <t>Reserve + common stock cover</t>
        </is>
      </c>
      <c r="B17" s="19">
        <f>Cov_Years_Total</f>
        <v/>
      </c>
      <c r="D17" s="10">
        <f>"BTC price for "&amp;Target_Years&amp;" yrs of cover"</f>
        <v/>
      </c>
      <c r="E17" s="12" t="n"/>
      <c r="F17" s="14">
        <f>BE_BTC_Target</f>
        <v/>
      </c>
    </row>
    <row r="18">
      <c r="A18" s="10" t="inlineStr">
        <is>
          <t>Dilution to fund one year of charges</t>
        </is>
      </c>
      <c r="B18" s="16">
        <f>Dilution_Year</f>
        <v/>
      </c>
      <c r="D18" s="10" t="inlineStr">
        <is>
          <t>Convertible puts, Oct 2026-Sep 2028 ($m)</t>
        </is>
      </c>
      <c r="E18" s="12" t="n"/>
      <c r="F18" s="11">
        <f>Puts_In_Window</f>
        <v/>
      </c>
    </row>
    <row r="20">
      <c r="A20" s="20" t="inlineStr">
        <is>
          <t>Coverage down the seniority stack (live)</t>
        </is>
      </c>
    </row>
    <row r="21">
      <c r="A21" s="8" t="inlineStr">
        <is>
          <t>Down to and including</t>
        </is>
      </c>
      <c r="B21" s="9" t="inlineStr">
        <is>
          <t>Cash charges ($m)</t>
        </is>
      </c>
      <c r="C21" s="9" t="inlineStr">
        <is>
          <t>Reserve alone</t>
        </is>
      </c>
      <c r="D21" s="9" t="inlineStr">
        <is>
          <t>Reserve + common</t>
        </is>
      </c>
      <c r="E21" s="9" t="inlineStr">
        <is>
          <t>BTC cover</t>
        </is>
      </c>
    </row>
    <row r="22">
      <c r="A22" s="21">
        <f>Coverage!A5</f>
        <v/>
      </c>
      <c r="B22" s="22">
        <f>Coverage!B5</f>
        <v/>
      </c>
      <c r="C22" s="23">
        <f>Coverage!C5</f>
        <v/>
      </c>
      <c r="D22" s="24">
        <f>Coverage!E5</f>
        <v/>
      </c>
      <c r="E22" s="25">
        <f>Coverage!G5</f>
        <v/>
      </c>
    </row>
    <row r="23">
      <c r="A23" s="21">
        <f>Coverage!A6</f>
        <v/>
      </c>
      <c r="B23" s="22">
        <f>Coverage!B6</f>
        <v/>
      </c>
      <c r="C23" s="23">
        <f>Coverage!C6</f>
        <v/>
      </c>
      <c r="D23" s="24">
        <f>Coverage!E6</f>
        <v/>
      </c>
      <c r="E23" s="25">
        <f>Coverage!G6</f>
        <v/>
      </c>
    </row>
    <row r="24">
      <c r="A24" s="21">
        <f>Coverage!A7</f>
        <v/>
      </c>
      <c r="B24" s="22">
        <f>Coverage!B7</f>
        <v/>
      </c>
      <c r="C24" s="23">
        <f>Coverage!C7</f>
        <v/>
      </c>
      <c r="D24" s="24">
        <f>Coverage!E7</f>
        <v/>
      </c>
      <c r="E24" s="25">
        <f>Coverage!G7</f>
        <v/>
      </c>
    </row>
    <row r="25">
      <c r="A25" s="21">
        <f>Coverage!A8</f>
        <v/>
      </c>
      <c r="B25" s="22">
        <f>Coverage!B8</f>
        <v/>
      </c>
      <c r="C25" s="23">
        <f>Coverage!C8</f>
        <v/>
      </c>
      <c r="D25" s="24">
        <f>Coverage!E8</f>
        <v/>
      </c>
      <c r="E25" s="25">
        <f>Coverage!G8</f>
        <v/>
      </c>
    </row>
    <row r="26">
      <c r="A26" s="21">
        <f>Coverage!A9</f>
        <v/>
      </c>
      <c r="B26" s="22">
        <f>Coverage!B9</f>
        <v/>
      </c>
      <c r="C26" s="23">
        <f>Coverage!C9</f>
        <v/>
      </c>
      <c r="D26" s="24">
        <f>Coverage!E9</f>
        <v/>
      </c>
      <c r="E26" s="25">
        <f>Coverage!G9</f>
        <v/>
      </c>
    </row>
    <row r="27">
      <c r="A27" s="21">
        <f>Coverage!A10</f>
        <v/>
      </c>
      <c r="B27" s="22">
        <f>Coverage!B10</f>
        <v/>
      </c>
      <c r="C27" s="23">
        <f>Coverage!C10</f>
        <v/>
      </c>
      <c r="D27" s="24">
        <f>Coverage!E10</f>
        <v/>
      </c>
      <c r="E27" s="25">
        <f>Coverage!G10</f>
        <v/>
      </c>
    </row>
    <row r="28">
      <c r="A28" s="26" t="inlineStr">
        <is>
          <t>Cumulative: the STRC row means the Reserve also pays debt interest and STRF, which rank ahead of it.</t>
        </is>
      </c>
    </row>
    <row r="30">
      <c r="A30" s="20" t="inlineStr">
        <is>
          <t>All five scenarios side by side (independent of the selector)</t>
        </is>
      </c>
    </row>
    <row r="31">
      <c r="A31" s="8" t="inlineStr">
        <is>
          <t>Scenario</t>
        </is>
      </c>
      <c r="B31" s="9" t="inlineStr">
        <is>
          <t>Base</t>
        </is>
      </c>
      <c r="C31" s="9" t="inlineStr">
        <is>
          <t>Bear</t>
        </is>
      </c>
      <c r="D31" s="9" t="inlineStr">
        <is>
          <t>Severe</t>
        </is>
      </c>
      <c r="E31" s="9" t="inlineStr">
        <is>
          <t>Bull</t>
        </is>
      </c>
      <c r="F31" s="9" t="inlineStr">
        <is>
          <t>Custom</t>
        </is>
      </c>
    </row>
    <row r="32">
      <c r="A32" s="10" t="inlineStr">
        <is>
          <t>BTC price</t>
        </is>
      </c>
      <c r="B32" s="27">
        <f>Scenarios!B6</f>
        <v/>
      </c>
      <c r="C32" s="27">
        <f>Scenarios!C6</f>
        <v/>
      </c>
      <c r="D32" s="27">
        <f>Scenarios!D6</f>
        <v/>
      </c>
      <c r="E32" s="27">
        <f>Scenarios!E6</f>
        <v/>
      </c>
      <c r="F32" s="27">
        <f>Scenarios!F6</f>
        <v/>
      </c>
    </row>
    <row r="33">
      <c r="A33" s="10" t="inlineStr">
        <is>
          <t>mNAV</t>
        </is>
      </c>
      <c r="B33" s="28">
        <f>Scenarios!B7</f>
        <v/>
      </c>
      <c r="C33" s="28">
        <f>Scenarios!C7</f>
        <v/>
      </c>
      <c r="D33" s="28">
        <f>Scenarios!D7</f>
        <v/>
      </c>
      <c r="E33" s="28">
        <f>Scenarios!E7</f>
        <v/>
      </c>
      <c r="F33" s="28">
        <f>Scenarios!F7</f>
        <v/>
      </c>
    </row>
    <row r="34">
      <c r="A34" s="10" t="inlineStr">
        <is>
          <t>STRC rate</t>
        </is>
      </c>
      <c r="B34" s="29">
        <f>Scenarios!B8</f>
        <v/>
      </c>
      <c r="C34" s="29">
        <f>Scenarios!C8</f>
        <v/>
      </c>
      <c r="D34" s="29">
        <f>Scenarios!D8</f>
        <v/>
      </c>
      <c r="E34" s="29">
        <f>Scenarios!E8</f>
        <v/>
      </c>
      <c r="F34" s="29">
        <f>Scenarios!F8</f>
        <v/>
      </c>
    </row>
    <row r="35">
      <c r="A35" s="10" t="inlineStr">
        <is>
          <t>Annual cash charges ($m)</t>
        </is>
      </c>
      <c r="B35" s="30">
        <f>Charges_Total-Div_STRC_Cash-Div_STRE_Cash+STRC_Notional_Now*Scenarios!B8+Notional_STRE_EUR*Scenarios!B10*Rate_STRE</f>
        <v/>
      </c>
      <c r="C35" s="30">
        <f>Charges_Total-Div_STRC_Cash-Div_STRE_Cash+STRC_Notional_Now*Scenarios!C8+Notional_STRE_EUR*Scenarios!C10*Rate_STRE</f>
        <v/>
      </c>
      <c r="D35" s="30">
        <f>Charges_Total-Div_STRC_Cash-Div_STRE_Cash+STRC_Notional_Now*Scenarios!D8+Notional_STRE_EUR*Scenarios!D10*Rate_STRE</f>
        <v/>
      </c>
      <c r="E35" s="30">
        <f>Charges_Total-Div_STRC_Cash-Div_STRE_Cash+STRC_Notional_Now*Scenarios!E8+Notional_STRE_EUR*Scenarios!E10*Rate_STRE</f>
        <v/>
      </c>
      <c r="F35" s="30">
        <f>Charges_Total-Div_STRC_Cash-Div_STRE_Cash+STRC_Notional_Now*Scenarios!F8+Notional_STRE_EUR*Scenarios!F10*Rate_STRE</f>
        <v/>
      </c>
    </row>
    <row r="36">
      <c r="A36" s="10" t="inlineStr">
        <is>
          <t>Reserve available ($m)</t>
        </is>
      </c>
      <c r="B36" s="30">
        <f>USD_Reserve+IF(Include_USD_Cash="Yes",USD_Cash,0)+IF(Include_BTC_Monetization="Yes",MIN(BTC_Monetization_Cap,BTC_Held*B32/1000000),0)</f>
        <v/>
      </c>
      <c r="C36" s="30">
        <f>USD_Reserve+IF(Include_USD_Cash="Yes",USD_Cash,0)+IF(Include_BTC_Monetization="Yes",MIN(BTC_Monetization_Cap,BTC_Held*C32/1000000),0)</f>
        <v/>
      </c>
      <c r="D36" s="30">
        <f>USD_Reserve+IF(Include_USD_Cash="Yes",USD_Cash,0)+IF(Include_BTC_Monetization="Yes",MIN(BTC_Monetization_Cap,BTC_Held*D32/1000000),0)</f>
        <v/>
      </c>
      <c r="E36" s="30">
        <f>USD_Reserve+IF(Include_USD_Cash="Yes",USD_Cash,0)+IF(Include_BTC_Monetization="Yes",MIN(BTC_Monetization_Cap,BTC_Held*E32/1000000),0)</f>
        <v/>
      </c>
      <c r="F36" s="30">
        <f>USD_Reserve+IF(Include_USD_Cash="Yes",USD_Cash,0)+IF(Include_BTC_Monetization="Yes",MIN(BTC_Monetization_Cap,BTC_Held*F32/1000000),0)</f>
        <v/>
      </c>
    </row>
    <row r="37">
      <c r="A37" s="10" t="inlineStr">
        <is>
          <t>Preferred notional ($m)</t>
        </is>
      </c>
      <c r="B37" s="30">
        <f>Pref_Notional_Total-Notional_STRE+Notional_STRE_EUR*Scenarios!B10</f>
        <v/>
      </c>
      <c r="C37" s="30">
        <f>Pref_Notional_Total-Notional_STRE+Notional_STRE_EUR*Scenarios!C10</f>
        <v/>
      </c>
      <c r="D37" s="30">
        <f>Pref_Notional_Total-Notional_STRE+Notional_STRE_EUR*Scenarios!D10</f>
        <v/>
      </c>
      <c r="E37" s="30">
        <f>Pref_Notional_Total-Notional_STRE+Notional_STRE_EUR*Scenarios!E10</f>
        <v/>
      </c>
      <c r="F37" s="30">
        <f>Pref_Notional_Total-Notional_STRE+Notional_STRE_EUR*Scenarios!F10</f>
        <v/>
      </c>
    </row>
    <row r="38">
      <c r="A38" s="10" t="inlineStr">
        <is>
          <t>Implied MSTR market cap ($m)</t>
        </is>
      </c>
      <c r="B38" s="31">
        <f>MAX(0,B33*BTC_Held*B32/1000000-Debt_Principal-B37+Cash_For_EV)</f>
        <v/>
      </c>
      <c r="C38" s="31">
        <f>MAX(0,C33*BTC_Held*C32/1000000-Debt_Principal-C37+Cash_For_EV)</f>
        <v/>
      </c>
      <c r="D38" s="31">
        <f>MAX(0,D33*BTC_Held*D32/1000000-Debt_Principal-D37+Cash_For_EV)</f>
        <v/>
      </c>
      <c r="E38" s="31">
        <f>MAX(0,E33*BTC_Held*E32/1000000-Debt_Principal-E37+Cash_For_EV)</f>
        <v/>
      </c>
      <c r="F38" s="31">
        <f>MAX(0,F33*BTC_Held*F32/1000000-Debt_Principal-F37+Cash_For_EV)</f>
        <v/>
      </c>
    </row>
    <row r="39">
      <c r="A39" s="10" t="inlineStr">
        <is>
          <t>Common sales per year ($m)</t>
        </is>
      </c>
      <c r="B39" s="31">
        <f>IF(AND(Gate_On="Yes",B33&lt;mNAV_Floor),0,Scenarios!B12*B38/MSTR_Shares*Scenarios!B13*Trading_Days)</f>
        <v/>
      </c>
      <c r="C39" s="31">
        <f>IF(AND(Gate_On="Yes",C33&lt;mNAV_Floor),0,Scenarios!C12*C38/MSTR_Shares*Scenarios!C13*Trading_Days)</f>
        <v/>
      </c>
      <c r="D39" s="31">
        <f>IF(AND(Gate_On="Yes",D33&lt;mNAV_Floor),0,Scenarios!D12*D38/MSTR_Shares*Scenarios!D13*Trading_Days)</f>
        <v/>
      </c>
      <c r="E39" s="31">
        <f>IF(AND(Gate_On="Yes",E33&lt;mNAV_Floor),0,Scenarios!E12*E38/MSTR_Shares*Scenarios!E13*Trading_Days)</f>
        <v/>
      </c>
      <c r="F39" s="31">
        <f>IF(AND(Gate_On="Yes",F33&lt;mNAV_Floor),0,Scenarios!F12*F38/MSTR_Shares*Scenarios!F13*Trading_Days)</f>
        <v/>
      </c>
    </row>
    <row r="40">
      <c r="A40" s="32" t="inlineStr">
        <is>
          <t>Reserve alone (months)</t>
        </is>
      </c>
      <c r="B40" s="33">
        <f>B36/B35*12</f>
        <v/>
      </c>
      <c r="C40" s="33">
        <f>C36/C35*12</f>
        <v/>
      </c>
      <c r="D40" s="33">
        <f>D36/D35*12</f>
        <v/>
      </c>
      <c r="E40" s="33">
        <f>E36/E35*12</f>
        <v/>
      </c>
      <c r="F40" s="33">
        <f>F36/F35*12</f>
        <v/>
      </c>
    </row>
    <row r="41">
      <c r="A41" s="32" t="inlineStr">
        <is>
          <t>Reserve + common (years)</t>
        </is>
      </c>
      <c r="B41" s="34">
        <f>MIN(Display_Cap,IF(AND(B39&lt;B35,B39*B36/(B35-B39)&lt;=ATM_Cap),B36/(B35-B39),(B36+ATM_Cap)/B35))</f>
        <v/>
      </c>
      <c r="C41" s="34">
        <f>MIN(Display_Cap,IF(AND(C39&lt;C35,C39*C36/(C35-C39)&lt;=ATM_Cap),C36/(C35-C39),(C36+ATM_Cap)/C35))</f>
        <v/>
      </c>
      <c r="D41" s="34">
        <f>MIN(Display_Cap,IF(AND(D39&lt;D35,D39*D36/(D35-D39)&lt;=ATM_Cap),D36/(D35-D39),(D36+ATM_Cap)/D35))</f>
        <v/>
      </c>
      <c r="E41" s="34">
        <f>MIN(Display_Cap,IF(AND(E39&lt;E35,E39*E36/(E35-E39)&lt;=ATM_Cap),E36/(E35-E39),(E36+ATM_Cap)/E35))</f>
        <v/>
      </c>
      <c r="F41" s="34">
        <f>MIN(Display_Cap,IF(AND(F39&lt;F35,F39*F36/(F35-F39)&lt;=ATM_Cap),F36/(F35-F39),(F36+ATM_Cap)/F35))</f>
        <v/>
      </c>
    </row>
    <row r="42">
      <c r="A42" s="10" t="inlineStr">
        <is>
          <t>Dilution for one year of charges</t>
        </is>
      </c>
      <c r="B42" s="35">
        <f>IF(B39=0,"gate",IF(B38=0,"wiped out",B35/B38))</f>
        <v/>
      </c>
      <c r="C42" s="35">
        <f>IF(C39=0,"gate",IF(C38=0,"wiped out",C35/C38))</f>
        <v/>
      </c>
      <c r="D42" s="35">
        <f>IF(D39=0,"gate",IF(D38=0,"wiped out",D35/D38))</f>
        <v/>
      </c>
      <c r="E42" s="35">
        <f>IF(E39=0,"gate",IF(E38=0,"wiped out",E35/E38))</f>
        <v/>
      </c>
      <c r="F42" s="35">
        <f>IF(F39=0,"gate",IF(F38=0,"wiped out",F35/F38))</f>
        <v/>
      </c>
    </row>
    <row r="43">
      <c r="A43" s="32" t="inlineStr">
        <is>
          <t>BTC cover of debt + preferred</t>
        </is>
      </c>
      <c r="B43" s="36">
        <f>BTC_Held*B32/1000000/(Debt_Principal+B37)</f>
        <v/>
      </c>
      <c r="C43" s="36">
        <f>BTC_Held*C32/1000000/(Debt_Principal+C37)</f>
        <v/>
      </c>
      <c r="D43" s="36">
        <f>BTC_Held*D32/1000000/(Debt_Principal+D37)</f>
        <v/>
      </c>
      <c r="E43" s="36">
        <f>BTC_Held*E32/1000000/(Debt_Principal+E37)</f>
        <v/>
      </c>
      <c r="F43" s="36">
        <f>BTC_Held*F32/1000000/(Debt_Principal+F37)</f>
        <v/>
      </c>
    </row>
    <row r="44">
      <c r="A44" s="26" t="inlineStr">
        <is>
          <t>Each column reruns the whole chain from its own levers on Scenarios. The highlighted column is the selected one and must equal the live figures (see Checks).</t>
        </is>
      </c>
    </row>
  </sheetData>
  <mergeCells count="8">
    <mergeCell ref="D16:E16"/>
    <mergeCell ref="D15:E15"/>
    <mergeCell ref="D13:E13"/>
    <mergeCell ref="D14:E14"/>
    <mergeCell ref="A7:F9"/>
    <mergeCell ref="D18:E18"/>
    <mergeCell ref="D17:E17"/>
    <mergeCell ref="D12:E12"/>
  </mergeCells>
  <conditionalFormatting sqref="E4">
    <cfRule type="cellIs" priority="1" operator="equal" dxfId="0">
      <formula>"ALL PASS"</formula>
    </cfRule>
    <cfRule type="cellIs" priority="2" operator="notEqual" dxfId="1">
      <formula>"ALL PASS"</formula>
    </cfRule>
  </conditionalFormatting>
  <conditionalFormatting sqref="B14">
    <cfRule type="cellIs" priority="3" operator="lessThan" dxfId="2">
      <formula>Reserve_Min_Months</formula>
    </cfRule>
  </conditionalFormatting>
  <conditionalFormatting sqref="B15">
    <cfRule type="cellIs" priority="4" operator="lessThan" dxfId="3">
      <formula>0</formula>
    </cfRule>
  </conditionalFormatting>
  <conditionalFormatting sqref="B41:F41">
    <cfRule type="cellIs" priority="5" operator="lessThan" dxfId="2">
      <formula>Target_Years</formula>
    </cfRule>
  </conditionalFormatting>
  <conditionalFormatting sqref="B40:F40">
    <cfRule type="cellIs" priority="6" operator="lessThan" dxfId="2">
      <formula>Reserve_Min_Months</formula>
    </cfRule>
  </conditionalFormatting>
  <conditionalFormatting sqref="B43:F43">
    <cfRule type="cellIs" priority="7" operator="lessThan" dxfId="3">
      <formula>1</formula>
    </cfRule>
  </conditionalFormatting>
  <conditionalFormatting sqref="B31:F31">
    <cfRule type="expression" priority="8" dxfId="4">
      <formula>B$31=Scenario_Select</formula>
    </cfRule>
  </conditionalFormatting>
  <dataValidations count="1">
    <dataValidation sqref="B4" showDropDown="0" showInputMessage="0" showErrorMessage="1" allowBlank="0" errorTitle="Scenario" error="Pick Base, Bear, Severe, Bull or Custom" type="list">
      <formula1>"Base,Bear,Severe,Bull,Custom"</formula1>
    </dataValidation>
  </dataValidation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7F7F7F"/>
    <outlinePr summaryBelow="1" summaryRight="1"/>
    <pageSetUpPr fitToPage="1"/>
  </sheetPr>
  <dimension ref="A1:A52"/>
  <sheetViews>
    <sheetView showGridLines="0" workbookViewId="0">
      <selection activeCell="A1" sqref="A1"/>
    </sheetView>
  </sheetViews>
  <sheetFormatPr baseColWidth="8" defaultRowHeight="15"/>
  <cols>
    <col width="125" customWidth="1" min="1" max="1"/>
  </cols>
  <sheetData>
    <row r="1">
      <c r="A1" s="1" t="inlineStr">
        <is>
          <t>README</t>
        </is>
      </c>
    </row>
    <row r="2">
      <c r="A2" s="2" t="inlineStr">
        <is>
          <t>Strategy preferred coverage model. Built from public filings; not investment advice.</t>
        </is>
      </c>
    </row>
    <row r="5">
      <c r="A5" s="37" t="inlineStr">
        <is>
          <t>The question</t>
        </is>
      </c>
    </row>
    <row r="6" ht="28" customHeight="1">
      <c r="A6" s="38" t="inlineStr">
        <is>
          <t>For STRF, STRC, STRE, STRK and STRD: how long can Strategy pay its fixed charges from the USD Reserve, from common stock it can still sell, and from bitcoin? At what bitcoin price and mNAV does each source stop being enough?</t>
        </is>
      </c>
    </row>
    <row r="8">
      <c r="A8" s="37" t="inlineStr">
        <is>
          <t>How to use it</t>
        </is>
      </c>
    </row>
    <row r="9" ht="28" customHeight="1">
      <c r="A9" s="38" t="inlineStr">
        <is>
          <t>1. Dashboard: pick a scenario in the yellow cell B4. Every sheet recalculates. The side-by-side table shows all five scenarios at once.</t>
        </is>
      </c>
    </row>
    <row r="10" ht="14" customHeight="1">
      <c r="A10" s="38" t="inlineStr">
        <is>
          <t>2. Scenarios: edit the blue levers for Bear, Severe, Bull or Custom. Base always links to the latest Inputs.</t>
        </is>
      </c>
    </row>
    <row r="11" ht="28" customHeight="1">
      <c r="A11" s="38" t="inlineStr">
        <is>
          <t>3. Inputs: refresh after each weekly 8-K or 10-Q. Each row carries its as-of date and source. Yellow cells are judgement calls; the Yes/No toggles change what counts as cash.</t>
        </is>
      </c>
    </row>
    <row r="12" ht="14" customHeight="1">
      <c r="A12" s="38" t="inlineStr">
        <is>
          <t>4. Checks: every row should read PASS. The Dashboard shows the overall status next to the selector.</t>
        </is>
      </c>
    </row>
    <row r="14">
      <c r="A14" s="37" t="inlineStr">
        <is>
          <t>Sheet map (data flows one way)</t>
        </is>
      </c>
    </row>
    <row r="15" ht="28" customHeight="1">
      <c r="A15" s="38" t="inlineStr">
        <is>
          <t>Inputs + Scenarios  -&gt;  Instruments  -&gt;  Obligations  -&gt;  Liquidity  -&gt;  Coverage  -&gt;  Stress  -&gt;  Dashboard.   Checks reads from all of them.</t>
        </is>
      </c>
    </row>
    <row r="17">
      <c r="A17" s="37" t="inlineStr">
        <is>
          <t>Colour and format key</t>
        </is>
      </c>
    </row>
    <row r="18" ht="28" customHeight="1">
      <c r="A18" s="38" t="inlineStr">
        <is>
          <t>Blue text = typed input. Black = formula. Green = link from another sheet. Yellow fill = judgement call or selector. Light orange fill = key output. Amber/red fills = below target, or below 1 year / 1.0x.</t>
        </is>
      </c>
    </row>
    <row r="19" ht="28" customHeight="1">
      <c r="A19" s="38" t="inlineStr">
        <is>
          <t>Money is in $ millions unless the header says otherwise. Percentages are stored as fractions. Coverage at or above 50 years shows as '&gt;=50 yrs', meaning common sales alone fund the charges.</t>
        </is>
      </c>
    </row>
    <row r="21">
      <c r="A21" s="37" t="inlineStr">
        <is>
          <t>Method</t>
        </is>
      </c>
    </row>
    <row r="22" ht="28" customHeight="1">
      <c r="A22" s="38" t="inlineStr">
        <is>
          <t>Cash fixed charges = each preferred's notional x rate (STRE at EUR/USD; STRK zero if paid in shares) + debt interest. Seniority from the certificates of designation: debt, then STRF &gt; STRC &gt; STRE &gt; STRK &gt; STRD.</t>
        </is>
      </c>
    </row>
    <row r="23" ht="28" customHeight="1">
      <c r="A23" s="38" t="inlineStr">
        <is>
          <t>Reserve coverage = USD Reserve / cumulative charges. USD Cash and BTC sales into the Reserve are excluded by default (toggles on Inputs). Policy requires at least 12 months of charges in the Reserve.</t>
        </is>
      </c>
    </row>
    <row r="24" ht="42" customHeight="1">
      <c r="A24" s="38" t="inlineStr">
        <is>
          <t>Common stock: implied market cap = mNAV x bitcoin NAV - debt - preferred notional + cash. Sales per year = MSTR daily volume x implied price x participation x trading days, and zero below the mNAV floor. Total sales are capped by the remaining ATM unless the toggle assumes new programs.</t>
        </is>
      </c>
    </row>
    <row r="25" ht="28" customHeight="1">
      <c r="A25" s="38" t="inlineStr">
        <is>
          <t>Years covered solves Reserve + min(sales x T, ATM cap) = charges x T. If sales &lt; charges and the ATM lasts, T = Reserve / (charges - sales); otherwise T = (Reserve + ATM cap) / charges.</t>
        </is>
      </c>
    </row>
    <row r="26" ht="28" customHeight="1">
      <c r="A26" s="38" t="inlineStr">
        <is>
          <t>Bitcoin cover = bitcoin NAV / (debt principal + preferred notional) through each rank. Preferred holders have no claim on the coins; this measures headroom, not security.</t>
        </is>
      </c>
    </row>
    <row r="27" ht="28" customHeight="1">
      <c r="A27" s="38" t="inlineStr">
        <is>
          <t>Breakevens are closed form on Coverage. To check one with Goal Seek: set the selector to Custom, then Data &gt; What-If Analysis &gt; Goal Seek, set the output cell to the target by changing the Custom 'BTC change' cell on Scenarios.</t>
        </is>
      </c>
    </row>
    <row r="28" ht="28" customHeight="1">
      <c r="A28" s="38" t="inlineStr">
        <is>
          <t>Stress grids are plain formulas, not What-If Data Tables, so they recalculate in Excel desktop, Excel for the web and Google Sheets. A note under Grid 5 shows how to rebuild one as a Data Table.</t>
        </is>
      </c>
    </row>
    <row r="30">
      <c r="A30" s="37" t="inlineStr">
        <is>
          <t>What the base case says (as of the input date; recheck after refreshing)</t>
        </is>
      </c>
    </row>
    <row r="31" ht="56" customHeight="1">
      <c r="A31" s="38" t="inlineStr">
        <is>
          <t>See the Dashboard headline. In short: the Reserve alone covers about three years of all cash charges, well above the 12-month policy minimum. STRC is about two-thirds of the bill, so its monthly rate reset is the biggest single lever. Above the mNAV floor, the remaining MSTR ATM, not the bitcoin price, sets total coverage; below it, only the Reserve is left. Separately, $5.9B of convertible principal becomes puttable between Sep 2027 and Sep 2028.</t>
        </is>
      </c>
    </row>
    <row r="33">
      <c r="A33" s="37" t="inlineStr">
        <is>
          <t>Limits</t>
        </is>
      </c>
    </row>
    <row r="34" ht="84" customHeight="1">
      <c r="A34" s="38" t="inlineStr">
        <is>
          <t>Public figures only, not Strategy's internal view. STRC shares and the MSTR share count are rebuilt from weekly filings, not reported directly. Market data (BTC, MSTR price, volume, EUR/USD) are point-in-time. The ATM figure is registered capacity, not demand; participation is an assumption. mNAV is an input, not a forecast, and uses an enterprise-value definition that may differ from Strategy's revised one. STRC's rate is reset monthly by management. Not modelled: taxes, fees, price impact of selling bitcoin or stock, new preferred issuance, buybacks after the as-of date, convertible conversion prices. The quarterly runway uses accrual timing.</t>
        </is>
      </c>
    </row>
    <row r="36">
      <c r="A36" s="37" t="inlineStr">
        <is>
          <t>Sources</t>
        </is>
      </c>
    </row>
    <row r="37">
      <c r="A37" s="39" t="inlineStr">
        <is>
          <t>Strategy 8-K weekly update, Oct 12 2026 (Exhibit 99.1): https://www.sec.gov/Archives/edgar/data/1050446/000119312526419726/mstr-ex99_1.htm</t>
        </is>
      </c>
    </row>
    <row r="38">
      <c r="A38" s="39" t="inlineStr">
        <is>
          <t>Strategy 10-Q, quarter ended Jun 30 2026: https://www.sec.gov/Archives/edgar/data/0001050446/000105044626000044/mstr-20260630.htm</t>
        </is>
      </c>
    </row>
    <row r="39">
      <c r="A39" s="39" t="inlineStr">
        <is>
          <t>Strategy 8-K, STRC rate and November daily dividends, Oct 16 2026: https://www.sec.gov/Archives/edgar/data/1050446/000119312526423400/mstr-20261015.htm</t>
        </is>
      </c>
    </row>
    <row r="40">
      <c r="A40" s="39" t="inlineStr">
        <is>
          <t>Strategy 8-K, Digital Credit Capital Framework, Jun 29 2026: https://www.sec.gov/Archives/edgar/data/1050446/000119312526286871/mstr-20260629.htm</t>
        </is>
      </c>
    </row>
    <row r="41">
      <c r="A41" s="39" t="inlineStr">
        <is>
          <t>Strategy 8-K, preferred buyback raised to $2.0B, Sep 8 2026: https://www.sec.gov/Archives/edgar/data/1050446/000119312526384402/mstr-20260831.htm</t>
        </is>
      </c>
    </row>
    <row r="42">
      <c r="A42" s="39" t="inlineStr">
        <is>
          <t>Strategy FWP, $1.703B annual obligations, Aug 24 2026: https://www.sec.gov/Archives/edgar/data/1050446/000119312526363557/d431748dfwp.htm</t>
        </is>
      </c>
    </row>
    <row r="43">
      <c r="A43" s="39" t="inlineStr">
        <is>
          <t>Amended STRC certificate of designations, Jun 15 2026: https://www.sec.gov/Archives/edgar/data/1050446/000119312526270366/d144149dex31.htm</t>
        </is>
      </c>
    </row>
    <row r="44">
      <c r="A44" s="39" t="inlineStr">
        <is>
          <t>STRE certificate of designations, Nov 12 2025: https://www.sec.gov/Archives/edgar/data/1050446/000119312525280178/d205736dex31.htm</t>
        </is>
      </c>
    </row>
    <row r="45">
      <c r="A45" s="39" t="inlineStr">
        <is>
          <t>10-K Exhibit 4.2, description of securities: https://www.sec.gov/Archives/edgar/data/1050446/000105044626000020/ex42descriptionofregistere.htm</t>
        </is>
      </c>
    </row>
    <row r="46">
      <c r="A46" s="39" t="inlineStr">
        <is>
          <t>Definitive proxy, daily dividends special meeting Oct 28 2026: https://www.sec.gov/Archives/edgar/data/1050446/000119312526413159/d503578ddef14a.htm</t>
        </is>
      </c>
    </row>
    <row r="47">
      <c r="A47" s="39" t="inlineStr">
        <is>
          <t>STRE dividend declaration, 8-K Aug 31 2026: https://www.sec.gov/Archives/edgar/data/1050446/000119312526377583/mstr-20260831.htm</t>
        </is>
      </c>
    </row>
    <row r="48">
      <c r="A48" s="39" t="inlineStr">
        <is>
          <t>ECB euro reference rates: https://www.ecb.europa.eu/stats/policy_and_exchange_rates/euro_reference_exchange_rates/html/eurofxref-graph-usd.en.html</t>
        </is>
      </c>
    </row>
    <row r="49">
      <c r="A49" s="39" t="inlineStr">
        <is>
          <t>Yahoo Finance MSTR price history (secondary): https://finance.yahoo.com/quote/MSTR/history</t>
        </is>
      </c>
    </row>
    <row r="51">
      <c r="A51" s="37" t="inlineStr">
        <is>
          <t>Version</t>
        </is>
      </c>
    </row>
    <row r="52" ht="14" customHeight="1">
      <c r="A52" s="38" t="inlineStr">
        <is>
          <t>v1.0, built 2026-10-16 from inputs as of 2026-10-15. Refresh after Strategy's Q3 2026 10-Q.</t>
        </is>
      </c>
    </row>
  </sheetData>
  <hyperlinks>
    <hyperlink xmlns:r="http://schemas.openxmlformats.org/officeDocument/2006/relationships" ref="A37" r:id="rId1"/>
    <hyperlink xmlns:r="http://schemas.openxmlformats.org/officeDocument/2006/relationships" ref="A38" r:id="rId2"/>
    <hyperlink xmlns:r="http://schemas.openxmlformats.org/officeDocument/2006/relationships" ref="A39" r:id="rId3"/>
    <hyperlink xmlns:r="http://schemas.openxmlformats.org/officeDocument/2006/relationships" ref="A40" r:id="rId4"/>
    <hyperlink xmlns:r="http://schemas.openxmlformats.org/officeDocument/2006/relationships" ref="A41" r:id="rId5"/>
    <hyperlink xmlns:r="http://schemas.openxmlformats.org/officeDocument/2006/relationships" ref="A42" r:id="rId6"/>
    <hyperlink xmlns:r="http://schemas.openxmlformats.org/officeDocument/2006/relationships" ref="A43" r:id="rId7"/>
    <hyperlink xmlns:r="http://schemas.openxmlformats.org/officeDocument/2006/relationships" ref="A44" r:id="rId8"/>
    <hyperlink xmlns:r="http://schemas.openxmlformats.org/officeDocument/2006/relationships" ref="A45" r:id="rId9"/>
    <hyperlink xmlns:r="http://schemas.openxmlformats.org/officeDocument/2006/relationships" ref="A46" r:id="rId10"/>
    <hyperlink xmlns:r="http://schemas.openxmlformats.org/officeDocument/2006/relationships" ref="A47" r:id="rId11"/>
    <hyperlink xmlns:r="http://schemas.openxmlformats.org/officeDocument/2006/relationships" ref="A48" r:id="rId12"/>
    <hyperlink xmlns:r="http://schemas.openxmlformats.org/officeDocument/2006/relationships" ref="A49" r:id="rId13"/>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0000FF"/>
    <outlinePr summaryBelow="1" summaryRight="1"/>
    <pageSetUpPr fitToPage="1"/>
  </sheetPr>
  <dimension ref="A1:F80"/>
  <sheetViews>
    <sheetView showGridLines="0" workbookViewId="0">
      <pane ySplit="4" topLeftCell="A5" activePane="bottomLeft" state="frozen"/>
      <selection pane="bottomLeft" activeCell="A1" sqref="A1"/>
    </sheetView>
  </sheetViews>
  <sheetFormatPr baseColWidth="8" defaultRowHeight="15"/>
  <cols>
    <col width="46" customWidth="1" min="1" max="1"/>
    <col width="14" customWidth="1" min="2" max="2"/>
    <col width="13" customWidth="1" min="3" max="3"/>
    <col width="11" customWidth="1" min="4" max="4"/>
    <col width="44" customWidth="1" min="5" max="5"/>
    <col width="70" customWidth="1" min="6" max="6"/>
  </cols>
  <sheetData>
    <row r="1">
      <c r="A1" s="1" t="inlineStr">
        <is>
          <t>Inputs</t>
        </is>
      </c>
    </row>
    <row r="2">
      <c r="A2" s="2" t="inlineStr">
        <is>
          <t>Every hard-coded number lives here. Blue = input, yellow fill = judgement call. Market data as of 2026-10-15.</t>
        </is>
      </c>
    </row>
    <row r="4">
      <c r="A4" s="8" t="inlineStr">
        <is>
          <t>Input</t>
        </is>
      </c>
      <c r="B4" s="9" t="inlineStr">
        <is>
          <t>Value</t>
        </is>
      </c>
      <c r="C4" s="9" t="inlineStr">
        <is>
          <t>Unit</t>
        </is>
      </c>
      <c r="D4" s="9" t="inlineStr">
        <is>
          <t>As of</t>
        </is>
      </c>
      <c r="E4" s="9" t="inlineStr">
        <is>
          <t>Source</t>
        </is>
      </c>
      <c r="F4" s="9" t="inlineStr">
        <is>
          <t>Note</t>
        </is>
      </c>
    </row>
    <row r="5">
      <c r="A5" s="40" t="inlineStr">
        <is>
          <t>Bitcoin and market data (point-in-time; refresh before use)</t>
        </is>
      </c>
      <c r="B5" s="41" t="n"/>
      <c r="C5" s="41" t="n"/>
      <c r="D5" s="41" t="n"/>
      <c r="E5" s="41" t="n"/>
      <c r="F5" s="41" t="n"/>
    </row>
    <row r="6">
      <c r="A6" s="42" t="inlineStr">
        <is>
          <t>Bitcoin held</t>
        </is>
      </c>
      <c r="B6" s="43" t="n">
        <v>848250</v>
      </c>
      <c r="C6" s="2" t="inlineStr">
        <is>
          <t>BTC</t>
        </is>
      </c>
      <c r="D6" s="2" t="inlineStr">
        <is>
          <t>2026-10-11</t>
        </is>
      </c>
      <c r="E6" s="44" t="inlineStr">
        <is>
          <t>https://www.sec.gov/Archives/edgar/data/1050446/000119312526419726/mstr-ex99_1.htm</t>
        </is>
      </c>
      <c r="F6" s="45" t="inlineStr">
        <is>
          <t>Weekly 8-K, Exhibit 99.1</t>
        </is>
      </c>
    </row>
    <row r="7">
      <c r="A7" s="42" t="inlineStr">
        <is>
          <t>Average purchase price</t>
        </is>
      </c>
      <c r="B7" s="46" t="n">
        <v>75444</v>
      </c>
      <c r="C7" s="2" t="inlineStr">
        <is>
          <t>$/BTC</t>
        </is>
      </c>
      <c r="D7" s="2" t="inlineStr">
        <is>
          <t>2026-10-11</t>
        </is>
      </c>
      <c r="E7" s="44" t="inlineStr">
        <is>
          <t>https://www.sec.gov/Archives/edgar/data/1050446/000119312526419726/mstr-ex99_1.htm</t>
        </is>
      </c>
      <c r="F7" s="45" t="inlineStr">
        <is>
          <t>Context only</t>
        </is>
      </c>
    </row>
    <row r="8">
      <c r="A8" s="42" t="inlineStr">
        <is>
          <t>BTC price (Base)</t>
        </is>
      </c>
      <c r="B8" s="47" t="n">
        <v>82131</v>
      </c>
      <c r="C8" s="2" t="inlineStr">
        <is>
          <t>$/BTC</t>
        </is>
      </c>
      <c r="D8" s="2" t="inlineStr">
        <is>
          <t>2026-10-15</t>
        </is>
      </c>
      <c r="E8" s="44" t="inlineStr">
        <is>
          <t>https://api.exchange.coinbase.com/products/BTC-USD/candles</t>
        </is>
      </c>
      <c r="F8" s="45" t="inlineStr">
        <is>
          <t>Coinbase BTC-USD daily close, Oct 15 2026 (UTC). Secondary market data</t>
        </is>
      </c>
    </row>
    <row r="9">
      <c r="A9" s="42" t="inlineStr">
        <is>
          <t>EUR/USD (Base)</t>
        </is>
      </c>
      <c r="B9" s="48" t="n">
        <v>1.1253</v>
      </c>
      <c r="C9" s="2" t="inlineStr">
        <is>
          <t>USD per EUR</t>
        </is>
      </c>
      <c r="D9" s="2" t="inlineStr">
        <is>
          <t>2026-10-16</t>
        </is>
      </c>
      <c r="E9" s="44" t="inlineStr">
        <is>
          <t>https://www.ecb.europa.eu/stats/policy_and_exchange_rates/euro_reference_exchange_rates/html/eurofxref-graph-usd.en.html</t>
        </is>
      </c>
      <c r="F9" s="45" t="inlineStr">
        <is>
          <t>ECB euro reference rate</t>
        </is>
      </c>
    </row>
    <row r="10" ht="24" customHeight="1">
      <c r="A10" s="42" t="inlineStr">
        <is>
          <t>MSTR shares outstanding, Class A + B</t>
        </is>
      </c>
      <c r="B10" s="49" t="n">
        <v>421.761</v>
      </c>
      <c r="C10" s="2" t="inlineStr">
        <is>
          <t>m shares</t>
        </is>
      </c>
      <c r="D10" s="2" t="inlineStr">
        <is>
          <t>2026-10-11</t>
        </is>
      </c>
      <c r="E10" s="44" t="inlineStr">
        <is>
          <t>https://www.sec.gov/Archives/edgar/data/0001050446/000105044626000044/mstr-20260630.htm</t>
        </is>
      </c>
      <c r="F10" s="45" t="inlineStr">
        <is>
          <t>Estimate: 364.586m Class A (10-Q cover, Jul 24) + 37.536m sold via ATM Jul 27-Oct 11 (weekly 8-Ks) + 19.640m Class B. May understate by up to 5.4m (Jul 20-26 week straddles the cover date)</t>
        </is>
      </c>
    </row>
    <row r="11">
      <c r="A11" s="42" t="inlineStr">
        <is>
          <t>MSTR share price (Base)</t>
        </is>
      </c>
      <c r="B11" s="50" t="n">
        <v>151.29</v>
      </c>
      <c r="C11" s="2" t="inlineStr">
        <is>
          <t>$/sh</t>
        </is>
      </c>
      <c r="D11" s="2" t="inlineStr">
        <is>
          <t>2026-10-15</t>
        </is>
      </c>
      <c r="E11" s="44" t="inlineStr">
        <is>
          <t>https://finance.yahoo.com/quote/MSTR/history</t>
        </is>
      </c>
      <c r="F11" s="45" t="inlineStr">
        <is>
          <t>Close, Oct 15 2026. Secondary market data</t>
        </is>
      </c>
    </row>
    <row r="12">
      <c r="A12" s="42" t="inlineStr">
        <is>
          <t>MSTR average daily volume</t>
        </is>
      </c>
      <c r="B12" s="51" t="n">
        <v>22</v>
      </c>
      <c r="C12" s="2" t="inlineStr">
        <is>
          <t>m shares/day</t>
        </is>
      </c>
      <c r="D12" s="2" t="inlineStr">
        <is>
          <t>2026-10-15</t>
        </is>
      </c>
      <c r="E12" s="44" t="inlineStr">
        <is>
          <t>https://finance.yahoo.com/quote/MSTR/history</t>
        </is>
      </c>
      <c r="F12" s="45" t="inlineStr">
        <is>
          <t>20-day average, Sep 18-Oct 15 2026, computed from Yahoo Finance history</t>
        </is>
      </c>
    </row>
    <row r="13">
      <c r="A13" s="40" t="inlineStr">
        <is>
          <t>Company liquidity</t>
        </is>
      </c>
      <c r="B13" s="41" t="n"/>
      <c r="C13" s="41" t="n"/>
      <c r="D13" s="41" t="n"/>
      <c r="E13" s="41" t="n"/>
      <c r="F13" s="41" t="n"/>
    </row>
    <row r="14">
      <c r="A14" s="42" t="inlineStr">
        <is>
          <t>USD Reserve (dividends + interest)</t>
        </is>
      </c>
      <c r="B14" s="52" t="n">
        <v>4880</v>
      </c>
      <c r="C14" s="2" t="inlineStr">
        <is>
          <t>$m</t>
        </is>
      </c>
      <c r="D14" s="2" t="inlineStr">
        <is>
          <t>2026-10-11</t>
        </is>
      </c>
      <c r="E14" s="44" t="inlineStr">
        <is>
          <t>https://www.sec.gov/Archives/edgar/data/1050446/000119312526419726/mstr-ex99_1.htm</t>
        </is>
      </c>
      <c r="F14" s="45" t="inlineStr">
        <is>
          <t>Ring-fenced for preferred dividends and debt interest (Jun 29 policy)</t>
        </is>
      </c>
    </row>
    <row r="15" ht="24" customHeight="1">
      <c r="A15" s="42" t="inlineStr">
        <is>
          <t>Reserve policy minimum</t>
        </is>
      </c>
      <c r="B15" s="53" t="n">
        <v>12</v>
      </c>
      <c r="C15" s="2" t="inlineStr">
        <is>
          <t>months</t>
        </is>
      </c>
      <c r="D15" s="2" t="inlineStr">
        <is>
          <t>2026-06-29</t>
        </is>
      </c>
      <c r="E15" s="44" t="inlineStr">
        <is>
          <t>https://www.sec.gov/Archives/edgar/data/1050446/000119312526286871/mstr-20260629.htm</t>
        </is>
      </c>
      <c r="F15" s="45" t="inlineStr">
        <is>
          <t>Management must hold at least 12 months of expected dividends + interest; going lower needs board approval</t>
        </is>
      </c>
    </row>
    <row r="16" ht="24" customHeight="1">
      <c r="A16" s="42" t="inlineStr">
        <is>
          <t>USD Cash (general treasury)</t>
        </is>
      </c>
      <c r="B16" s="52" t="n">
        <v>640.5</v>
      </c>
      <c r="C16" s="2" t="inlineStr">
        <is>
          <t>$m</t>
        </is>
      </c>
      <c r="D16" s="2" t="inlineStr">
        <is>
          <t>2026-10-11</t>
        </is>
      </c>
      <c r="E16" s="44" t="inlineStr">
        <is>
          <t>https://www.sec.gov/Archives/edgar/data/1050446/000119312526419726/mstr-ex99_1.htm</t>
        </is>
      </c>
      <c r="F16" s="45" t="inlineStr">
        <is>
          <t>Flexible pool created Aug 24 2026 (https://www.sec.gov/Archives/edgar/data/1050446/000119312526361845/mstr-20260824.htm). Not ring-fenced</t>
        </is>
      </c>
    </row>
    <row r="17">
      <c r="A17" s="42" t="inlineStr">
        <is>
          <t>BTC that may be sold into the Reserve</t>
        </is>
      </c>
      <c r="B17" s="52" t="n">
        <v>1250</v>
      </c>
      <c r="C17" s="2" t="inlineStr">
        <is>
          <t>$m</t>
        </is>
      </c>
      <c r="D17" s="2" t="inlineStr">
        <is>
          <t>2026-06-29</t>
        </is>
      </c>
      <c r="E17" s="44" t="inlineStr">
        <is>
          <t>https://www.sec.gov/Archives/edgar/data/1050446/000119312526286871/mstr-20260629.htm</t>
        </is>
      </c>
      <c r="F17" s="45" t="inlineStr">
        <is>
          <t>BTC Monetization Program: up to $1.25B of BTC sales may top up the Reserve</t>
        </is>
      </c>
    </row>
    <row r="18">
      <c r="A18" s="42" t="inlineStr">
        <is>
          <t>MSTR ATM capacity remaining</t>
        </is>
      </c>
      <c r="B18" s="52" t="n">
        <v>18807.6</v>
      </c>
      <c r="C18" s="2" t="inlineStr">
        <is>
          <t>$m</t>
        </is>
      </c>
      <c r="D18" s="2" t="inlineStr">
        <is>
          <t>2026-10-11</t>
        </is>
      </c>
      <c r="E18" s="44" t="inlineStr">
        <is>
          <t>https://www.sec.gov/Archives/edgar/data/1050446/000119312526419726/mstr-ex99_1.htm</t>
        </is>
      </c>
      <c r="F18" s="45" t="inlineStr">
        <is>
          <t>Registered capacity, not demand</t>
        </is>
      </c>
    </row>
    <row r="19">
      <c r="A19" s="42" t="inlineStr">
        <is>
          <t>STRF ATM capacity remaining</t>
        </is>
      </c>
      <c r="B19" s="52" t="n">
        <v>1619.3</v>
      </c>
      <c r="C19" s="2" t="inlineStr">
        <is>
          <t>$m</t>
        </is>
      </c>
      <c r="D19" s="2" t="inlineStr">
        <is>
          <t>2026-10-11</t>
        </is>
      </c>
      <c r="E19" s="44" t="inlineStr">
        <is>
          <t>https://www.sec.gov/Archives/edgar/data/1050446/000119312526419726/mstr-ex99_1.htm</t>
        </is>
      </c>
      <c r="F19" s="45" t="inlineStr">
        <is>
          <t>No preferred ATM sales Jun 22-Oct 11</t>
        </is>
      </c>
    </row>
    <row r="20">
      <c r="A20" s="42" t="inlineStr">
        <is>
          <t>STRC ATM capacity remaining</t>
        </is>
      </c>
      <c r="B20" s="52" t="n">
        <v>17510.8</v>
      </c>
      <c r="C20" s="2" t="inlineStr">
        <is>
          <t>$m</t>
        </is>
      </c>
      <c r="D20" s="2" t="inlineStr">
        <is>
          <t>2026-10-11</t>
        </is>
      </c>
      <c r="E20" s="44" t="inlineStr">
        <is>
          <t>https://www.sec.gov/Archives/edgar/data/1050446/000119312526419726/mstr-ex99_1.htm</t>
        </is>
      </c>
      <c r="F20" s="45" t="inlineStr">
        <is>
          <t>Policy: no STRC issuance below $100 stated amount (10-Q)</t>
        </is>
      </c>
    </row>
    <row r="21">
      <c r="A21" s="42" t="inlineStr">
        <is>
          <t>STRK ATM capacity remaining</t>
        </is>
      </c>
      <c r="B21" s="52" t="n">
        <v>2100</v>
      </c>
      <c r="C21" s="2" t="inlineStr">
        <is>
          <t>$m</t>
        </is>
      </c>
      <c r="D21" s="2" t="inlineStr">
        <is>
          <t>2026-10-11</t>
        </is>
      </c>
      <c r="E21" s="44" t="inlineStr">
        <is>
          <t>https://www.sec.gov/Archives/edgar/data/1050446/000119312526419726/mstr-ex99_1.htm</t>
        </is>
      </c>
      <c r="F21" s="45" t="inlineStr"/>
    </row>
    <row r="22">
      <c r="A22" s="42" t="inlineStr">
        <is>
          <t>STRD ATM capacity remaining</t>
        </is>
      </c>
      <c r="B22" s="52" t="n">
        <v>4014.8</v>
      </c>
      <c r="C22" s="2" t="inlineStr">
        <is>
          <t>$m</t>
        </is>
      </c>
      <c r="D22" s="2" t="inlineStr">
        <is>
          <t>2026-10-11</t>
        </is>
      </c>
      <c r="E22" s="44" t="inlineStr">
        <is>
          <t>https://www.sec.gov/Archives/edgar/data/1050446/000119312526419726/mstr-ex99_1.htm</t>
        </is>
      </c>
      <c r="F22" s="45" t="inlineStr"/>
    </row>
    <row r="23" ht="24" customHeight="1">
      <c r="A23" s="42" t="inlineStr">
        <is>
          <t>Preferred buyback authorization remaining</t>
        </is>
      </c>
      <c r="B23" s="52" t="n">
        <v>354.8</v>
      </c>
      <c r="C23" s="2" t="inlineStr">
        <is>
          <t>$m</t>
        </is>
      </c>
      <c r="D23" s="2" t="inlineStr">
        <is>
          <t>2026-10-11</t>
        </is>
      </c>
      <c r="E23" s="44" t="inlineStr">
        <is>
          <t>https://www.sec.gov/Archives/edgar/data/1050446/000119312526419726/mstr-ex99_1.htm</t>
        </is>
      </c>
      <c r="F23" s="45" t="inlineStr">
        <is>
          <t>Of $2.0B (raised from $1.0B on Sep 8 2026: https://www.sec.gov/Archives/edgar/data/1050446/000119312526384402/mstr-20260831.htm)</t>
        </is>
      </c>
    </row>
    <row r="24">
      <c r="A24" s="40" t="inlineStr">
        <is>
          <t>Debt</t>
        </is>
      </c>
      <c r="B24" s="41" t="n"/>
      <c r="C24" s="41" t="n"/>
      <c r="D24" s="41" t="n"/>
      <c r="E24" s="41" t="n"/>
      <c r="F24" s="41" t="n"/>
    </row>
    <row r="25">
      <c r="A25" s="42" t="inlineStr">
        <is>
          <t>Debt principal (convertibles + other secured)</t>
        </is>
      </c>
      <c r="B25" s="52" t="n">
        <v>6750</v>
      </c>
      <c r="C25" s="2" t="inlineStr">
        <is>
          <t>$m</t>
        </is>
      </c>
      <c r="D25" s="2" t="inlineStr">
        <is>
          <t>2026-06-30</t>
        </is>
      </c>
      <c r="E25" s="44" t="inlineStr">
        <is>
          <t>https://www.sec.gov/Archives/edgar/data/0001050446/000105044626000044/mstr-20260630.htm</t>
        </is>
      </c>
      <c r="F25" s="45" t="inlineStr">
        <is>
          <t>Convertible schedule below sums to $6,713.7m; ~$40m other secured debt</t>
        </is>
      </c>
    </row>
    <row r="26">
      <c r="A26" s="42" t="inlineStr">
        <is>
          <t>Convertible coupon per semi-annual period</t>
        </is>
      </c>
      <c r="B26" s="52" t="n">
        <v>17.3</v>
      </c>
      <c r="C26" s="2" t="inlineStr">
        <is>
          <t>$m</t>
        </is>
      </c>
      <c r="D26" s="2" t="inlineStr">
        <is>
          <t>2026-06-30</t>
        </is>
      </c>
      <c r="E26" s="44" t="inlineStr">
        <is>
          <t>https://www.sec.gov/Archives/edgar/data/0001050446/000105044626000044/mstr-20260630.htm</t>
        </is>
      </c>
      <c r="F26" s="45" t="inlineStr">
        <is>
          <t>Filed figure; cross-checked against the schedule below</t>
        </is>
      </c>
    </row>
    <row r="27">
      <c r="A27" s="42" t="inlineStr">
        <is>
          <t>Other secured debt interest per year</t>
        </is>
      </c>
      <c r="B27" s="54" t="n">
        <v>2</v>
      </c>
      <c r="C27" s="2" t="inlineStr">
        <is>
          <t>$m</t>
        </is>
      </c>
      <c r="D27" s="2" t="inlineStr">
        <is>
          <t>2026-06-30</t>
        </is>
      </c>
      <c r="E27" s="44" t="inlineStr">
        <is>
          <t>https://www.sec.gov/Archives/edgar/data/0001050446/000105044626000044/mstr-20260630.htm</t>
        </is>
      </c>
      <c r="F27" s="45" t="inlineStr">
        <is>
          <t>Estimate: ~$40m at 5.2% and SOFR + 4.24%</t>
        </is>
      </c>
    </row>
    <row r="28">
      <c r="A28" s="40" t="inlineStr">
        <is>
          <t>Preferred stock terms</t>
        </is>
      </c>
      <c r="B28" s="41" t="n"/>
      <c r="C28" s="41" t="n"/>
      <c r="D28" s="41" t="n"/>
      <c r="E28" s="41" t="n"/>
      <c r="F28" s="41" t="n"/>
    </row>
    <row r="29">
      <c r="A29" s="42" t="inlineStr">
        <is>
          <t>STRF notional</t>
        </is>
      </c>
      <c r="B29" s="52" t="n">
        <v>1283.969</v>
      </c>
      <c r="C29" s="2" t="inlineStr">
        <is>
          <t>$m</t>
        </is>
      </c>
      <c r="D29" s="2" t="inlineStr">
        <is>
          <t>2026-06-30</t>
        </is>
      </c>
      <c r="E29" s="44" t="inlineStr">
        <is>
          <t>https://www.sec.gov/Archives/edgar/data/0001050446/000105044626000044/mstr-20260630.htm</t>
        </is>
      </c>
      <c r="F29" s="45" t="inlineStr">
        <is>
          <t>No STRF buybacks or issuance since</t>
        </is>
      </c>
    </row>
    <row r="30">
      <c r="A30" s="42" t="inlineStr">
        <is>
          <t>STRC notional, Jun 30 2026</t>
        </is>
      </c>
      <c r="B30" s="52" t="n">
        <v>10489.4705</v>
      </c>
      <c r="C30" s="2" t="inlineStr">
        <is>
          <t>$m</t>
        </is>
      </c>
      <c r="D30" s="2" t="inlineStr">
        <is>
          <t>2026-06-30</t>
        </is>
      </c>
      <c r="E30" s="44" t="inlineStr">
        <is>
          <t>https://www.sec.gov/Archives/edgar/data/0001050446/000105044626000044/mstr-20260630.htm</t>
        </is>
      </c>
      <c r="F30" s="45" t="inlineStr">
        <is>
          <t>104,894,705 shares; rolled forward in the bridge below</t>
        </is>
      </c>
    </row>
    <row r="31">
      <c r="A31" s="42" t="inlineStr">
        <is>
          <t>STRK notional</t>
        </is>
      </c>
      <c r="B31" s="52" t="n">
        <v>1402.074</v>
      </c>
      <c r="C31" s="2" t="inlineStr">
        <is>
          <t>$m</t>
        </is>
      </c>
      <c r="D31" s="2" t="inlineStr">
        <is>
          <t>2026-06-30</t>
        </is>
      </c>
      <c r="E31" s="44" t="inlineStr">
        <is>
          <t>https://www.sec.gov/Archives/edgar/data/0001050446/000105044626000044/mstr-20260630.htm</t>
        </is>
      </c>
      <c r="F31" s="45" t="inlineStr"/>
    </row>
    <row r="32">
      <c r="A32" s="42" t="inlineStr">
        <is>
          <t>STRD notional</t>
        </is>
      </c>
      <c r="B32" s="52" t="n">
        <v>1402.422</v>
      </c>
      <c r="C32" s="2" t="inlineStr">
        <is>
          <t>$m</t>
        </is>
      </c>
      <c r="D32" s="2" t="inlineStr">
        <is>
          <t>2026-06-30</t>
        </is>
      </c>
      <c r="E32" s="44" t="inlineStr">
        <is>
          <t>https://www.sec.gov/Archives/edgar/data/0001050446/000105044626000044/mstr-20260630.htm</t>
        </is>
      </c>
      <c r="F32" s="45" t="inlineStr"/>
    </row>
    <row r="33">
      <c r="A33" s="42" t="inlineStr">
        <is>
          <t>STRE notional</t>
        </is>
      </c>
      <c r="B33" s="52" t="n">
        <v>775</v>
      </c>
      <c r="C33" s="2" t="inlineStr">
        <is>
          <t>EUR m</t>
        </is>
      </c>
      <c r="D33" s="2" t="inlineStr">
        <is>
          <t>2026-06-30</t>
        </is>
      </c>
      <c r="E33" s="44" t="inlineStr">
        <is>
          <t>https://www.sec.gov/Archives/edgar/data/0001050446/000105044626000044/mstr-20260630.htm</t>
        </is>
      </c>
      <c r="F33" s="45" t="inlineStr">
        <is>
          <t>7,750,000 shares x EUR 100 stated amount</t>
        </is>
      </c>
    </row>
    <row r="34">
      <c r="A34" s="42" t="inlineStr">
        <is>
          <t>STRC stated amount per share</t>
        </is>
      </c>
      <c r="B34" s="46" t="n">
        <v>100</v>
      </c>
      <c r="C34" s="2" t="inlineStr">
        <is>
          <t>$/sh</t>
        </is>
      </c>
      <c r="D34" s="2" t="inlineStr">
        <is>
          <t>2026-06-30</t>
        </is>
      </c>
      <c r="E34" s="44" t="inlineStr">
        <is>
          <t>https://www.sec.gov/Archives/edgar/data/0001050446/000105044626000044/mstr-20260630.htm</t>
        </is>
      </c>
      <c r="F34" s="45" t="inlineStr"/>
    </row>
    <row r="35">
      <c r="A35" s="42" t="inlineStr">
        <is>
          <t>STRC shares repurchased Jul 1-Oct 11</t>
        </is>
      </c>
      <c r="B35" s="55" t="n">
        <v>16.973269</v>
      </c>
      <c r="C35" s="2" t="inlineStr">
        <is>
          <t>m shares</t>
        </is>
      </c>
      <c r="D35" s="2" t="inlineStr">
        <is>
          <t>2026-10-11</t>
        </is>
      </c>
      <c r="E35" s="44" t="inlineStr">
        <is>
          <t>https://www.sec.gov/Archives/edgar/data/1050446/000119312526419726/mstr-ex99_1.htm</t>
        </is>
      </c>
      <c r="F35" s="45" t="inlineStr">
        <is>
          <t>Sum of 13 weekly 8-Ks; $1,645.2m spent = $2.0B authorized - $354.8m remaining</t>
        </is>
      </c>
    </row>
    <row r="36">
      <c r="A36" s="42" t="inlineStr">
        <is>
          <t>...of which after Aug 23</t>
        </is>
      </c>
      <c r="B36" s="55" t="n">
        <v>11.800244</v>
      </c>
      <c r="C36" s="2" t="inlineStr">
        <is>
          <t>m shares</t>
        </is>
      </c>
      <c r="D36" s="2" t="inlineStr">
        <is>
          <t>2026-10-11</t>
        </is>
      </c>
      <c r="E36" s="44" t="inlineStr">
        <is>
          <t>https://www.sec.gov/Archives/edgar/data/1050446/000119312526419726/mstr-ex99_1.htm</t>
        </is>
      </c>
      <c r="F36" s="45" t="inlineStr">
        <is>
          <t>Used to reconcile to management's Aug 23 figure</t>
        </is>
      </c>
    </row>
    <row r="37">
      <c r="A37" s="42" t="inlineStr">
        <is>
          <t>STRC shares issued via ATM since Jun 30</t>
        </is>
      </c>
      <c r="B37" s="55" t="n">
        <v>0</v>
      </c>
      <c r="C37" s="2" t="inlineStr">
        <is>
          <t>m shares</t>
        </is>
      </c>
      <c r="D37" s="2" t="inlineStr">
        <is>
          <t>2026-10-11</t>
        </is>
      </c>
      <c r="E37" s="44" t="inlineStr">
        <is>
          <t>https://www.sec.gov/Archives/edgar/data/1050446/000119312526419726/mstr-ex99_1.htm</t>
        </is>
      </c>
      <c r="F37" s="45" t="inlineStr">
        <is>
          <t>ATM capacity unchanged in every weekly 8-K</t>
        </is>
      </c>
    </row>
    <row r="38">
      <c r="A38" s="42" t="inlineStr">
        <is>
          <t>STRF dividend rate</t>
        </is>
      </c>
      <c r="B38" s="56" t="n">
        <v>0.1</v>
      </c>
      <c r="C38" s="2" t="inlineStr">
        <is>
          <t>% p.a.</t>
        </is>
      </c>
      <c r="D38" s="2" t="inlineStr">
        <is>
          <t>2026-06-30</t>
        </is>
      </c>
      <c r="E38" s="44" t="inlineStr">
        <is>
          <t>https://www.sec.gov/Archives/edgar/data/0001050446/000105044626000044/mstr-20260630.htm</t>
        </is>
      </c>
      <c r="F38" s="45" t="inlineStr">
        <is>
          <t>Fixed. Unpaid dividends compound at a rate that steps up 1% a period to 18%</t>
        </is>
      </c>
    </row>
    <row r="39">
      <c r="A39" s="42" t="inlineStr">
        <is>
          <t>STRC dividend rate (Base)</t>
        </is>
      </c>
      <c r="B39" s="56" t="n">
        <v>0.12</v>
      </c>
      <c r="C39" s="2" t="inlineStr">
        <is>
          <t>% p.a.</t>
        </is>
      </c>
      <c r="D39" s="2" t="inlineStr">
        <is>
          <t>2026-10-16</t>
        </is>
      </c>
      <c r="E39" s="44" t="inlineStr">
        <is>
          <t>https://www.sec.gov/Archives/edgar/data/1050446/000119312526423400/mstr-20261015.htm</t>
        </is>
      </c>
      <c r="F39" s="45" t="inlineStr">
        <is>
          <t>Reset monthly; management will recommend 12% until STRC trades near $100</t>
        </is>
      </c>
    </row>
    <row r="40">
      <c r="A40" s="42" t="inlineStr">
        <is>
          <t>STRK dividend rate</t>
        </is>
      </c>
      <c r="B40" s="56" t="n">
        <v>0.08</v>
      </c>
      <c r="C40" s="2" t="inlineStr">
        <is>
          <t>% p.a.</t>
        </is>
      </c>
      <c r="D40" s="2" t="inlineStr">
        <is>
          <t>2026-06-30</t>
        </is>
      </c>
      <c r="E40" s="44" t="inlineStr">
        <is>
          <t>https://www.sec.gov/Archives/edgar/data/0001050446/000105044626000044/mstr-20260630.htm</t>
        </is>
      </c>
      <c r="F40" s="45" t="inlineStr">
        <is>
          <t>Fixed. Payable in cash, MSTR Class A shares, or both</t>
        </is>
      </c>
    </row>
    <row r="41">
      <c r="A41" s="42" t="inlineStr">
        <is>
          <t>STRD dividend rate</t>
        </is>
      </c>
      <c r="B41" s="56" t="n">
        <v>0.1</v>
      </c>
      <c r="C41" s="2" t="inlineStr">
        <is>
          <t>% p.a.</t>
        </is>
      </c>
      <c r="D41" s="2" t="inlineStr">
        <is>
          <t>2026-06-30</t>
        </is>
      </c>
      <c r="E41" s="44" t="inlineStr">
        <is>
          <t>https://www.sec.gov/Archives/edgar/data/0001050446/000105044626000044/mstr-20260630.htm</t>
        </is>
      </c>
      <c r="F41" s="45" t="inlineStr">
        <is>
          <t>Fixed. Non-cumulative</t>
        </is>
      </c>
    </row>
    <row r="42">
      <c r="A42" s="42" t="inlineStr">
        <is>
          <t>STRE dividend rate</t>
        </is>
      </c>
      <c r="B42" s="56" t="n">
        <v>0.1</v>
      </c>
      <c r="C42" s="2" t="inlineStr">
        <is>
          <t>% p.a.</t>
        </is>
      </c>
      <c r="D42" s="2" t="inlineStr">
        <is>
          <t>2026-06-30</t>
        </is>
      </c>
      <c r="E42" s="44" t="inlineStr">
        <is>
          <t>https://www.sec.gov/Archives/edgar/data/0001050446/000105044626000044/mstr-20260630.htm</t>
        </is>
      </c>
      <c r="F42" s="45" t="inlineStr">
        <is>
          <t>Fixed, EUR 2.50/quarter in euros. Same step-up as STRF if unpaid</t>
        </is>
      </c>
    </row>
    <row r="43">
      <c r="A43" s="40" t="inlineStr">
        <is>
          <t>Seniority (1 = most senior). Debt ranks ahead of every preferred</t>
        </is>
      </c>
      <c r="B43" s="41" t="n"/>
      <c r="C43" s="41" t="n"/>
      <c r="D43" s="41" t="n"/>
      <c r="E43" s="41" t="n"/>
      <c r="F43" s="41" t="n"/>
    </row>
    <row r="44">
      <c r="A44" s="42" t="inlineStr">
        <is>
          <t>STRF rank</t>
        </is>
      </c>
      <c r="B44" s="53" t="n">
        <v>1</v>
      </c>
      <c r="C44" s="2" t="inlineStr">
        <is>
          <t>rank</t>
        </is>
      </c>
      <c r="D44" s="2" t="inlineStr">
        <is>
          <t>2026-06-30</t>
        </is>
      </c>
      <c r="E44" s="44" t="inlineStr">
        <is>
          <t>https://www.sec.gov/Archives/edgar/data/0001050446/000105044626000044/mstr-20260630.htm</t>
        </is>
      </c>
      <c r="F44" s="45" t="inlineStr">
        <is>
          <t>10-Q risk factor: STRF, STRC, STRE, STRK, STRD from highest to lowest</t>
        </is>
      </c>
    </row>
    <row r="45">
      <c r="A45" s="42" t="inlineStr">
        <is>
          <t>STRC rank</t>
        </is>
      </c>
      <c r="B45" s="53" t="n">
        <v>2</v>
      </c>
      <c r="C45" s="2" t="inlineStr">
        <is>
          <t>rank</t>
        </is>
      </c>
      <c r="D45" s="2" t="inlineStr">
        <is>
          <t>2026-06-15</t>
        </is>
      </c>
      <c r="E45" s="44" t="inlineStr">
        <is>
          <t>https://www.sec.gov/Archives/edgar/data/1050446/000119312526270366/d144149dex31.htm</t>
        </is>
      </c>
      <c r="F45" s="45" t="inlineStr">
        <is>
          <t>Amended STRC certificate: STRF senior; STRE, STRK, STRD junior</t>
        </is>
      </c>
    </row>
    <row r="46">
      <c r="A46" s="42" t="inlineStr">
        <is>
          <t>STRE rank</t>
        </is>
      </c>
      <c r="B46" s="53" t="n">
        <v>3</v>
      </c>
      <c r="C46" s="2" t="inlineStr">
        <is>
          <t>rank</t>
        </is>
      </c>
      <c r="D46" s="2" t="inlineStr">
        <is>
          <t>2025-11-12</t>
        </is>
      </c>
      <c r="E46" s="44" t="inlineStr">
        <is>
          <t>https://www.sec.gov/Archives/edgar/data/1050446/000119312525280178/d205736dex31.htm</t>
        </is>
      </c>
      <c r="F46" s="45" t="inlineStr">
        <is>
          <t>STRE certificate: STRF and STRC senior; STRK and STRD junior</t>
        </is>
      </c>
    </row>
    <row r="47">
      <c r="A47" s="42" t="inlineStr">
        <is>
          <t>STRK rank</t>
        </is>
      </c>
      <c r="B47" s="53" t="n">
        <v>4</v>
      </c>
      <c r="C47" s="2" t="inlineStr">
        <is>
          <t>rank</t>
        </is>
      </c>
      <c r="D47" s="2" t="inlineStr">
        <is>
          <t>2026-02-01</t>
        </is>
      </c>
      <c r="E47" s="44" t="inlineStr">
        <is>
          <t>https://www.sec.gov/Archives/edgar/data/1050446/000105044626000020/ex42descriptionofregistere.htm</t>
        </is>
      </c>
      <c r="F47" s="45" t="inlineStr">
        <is>
          <t>10-K Ex. 4.2: STRF, STRC, STRE senior; STRD junior</t>
        </is>
      </c>
    </row>
    <row r="48">
      <c r="A48" s="42" t="inlineStr">
        <is>
          <t>STRD rank</t>
        </is>
      </c>
      <c r="B48" s="53" t="n">
        <v>5</v>
      </c>
      <c r="C48" s="2" t="inlineStr">
        <is>
          <t>rank</t>
        </is>
      </c>
      <c r="D48" s="2" t="inlineStr">
        <is>
          <t>2026-02-01</t>
        </is>
      </c>
      <c r="E48" s="44" t="inlineStr">
        <is>
          <t>https://www.sec.gov/Archives/edgar/data/1050446/000105044626000020/ex42descriptionofregistere.htm</t>
        </is>
      </c>
      <c r="F48" s="45" t="inlineStr">
        <is>
          <t>Junior to every other preferred</t>
        </is>
      </c>
    </row>
    <row r="49">
      <c r="A49" s="40" t="inlineStr">
        <is>
          <t>Model assumptions (judgement calls)</t>
        </is>
      </c>
      <c r="B49" s="41" t="n"/>
      <c r="C49" s="41" t="n"/>
      <c r="D49" s="41" t="n"/>
      <c r="E49" s="41" t="n"/>
      <c r="F49" s="41" t="n"/>
    </row>
    <row r="50">
      <c r="A50" s="42" t="inlineStr">
        <is>
          <t>Share of MSTR daily volume the ATM can take</t>
        </is>
      </c>
      <c r="B50" s="57" t="n">
        <v>0.1</v>
      </c>
      <c r="C50" s="2" t="inlineStr">
        <is>
          <t>% of ADV</t>
        </is>
      </c>
      <c r="D50" s="2" t="inlineStr">
        <is>
          <t>2026-10-16</t>
        </is>
      </c>
      <c r="E50" s="2" t="inlineStr">
        <is>
          <t>Model assumption</t>
        </is>
      </c>
      <c r="F50" s="45" t="inlineStr">
        <is>
          <t>Judgement: ATM programs typically sell a single-digit to low-double-digit % of daily volume</t>
        </is>
      </c>
    </row>
    <row r="51">
      <c r="A51" s="42" t="inlineStr">
        <is>
          <t>Trading days per year</t>
        </is>
      </c>
      <c r="B51" s="53" t="n">
        <v>252</v>
      </c>
      <c r="C51" s="2" t="inlineStr">
        <is>
          <t>days</t>
        </is>
      </c>
      <c r="D51" s="2" t="inlineStr">
        <is>
          <t>2026-10-16</t>
        </is>
      </c>
      <c r="E51" s="2" t="inlineStr">
        <is>
          <t>Model assumption</t>
        </is>
      </c>
      <c r="F51" s="45" t="inlineStr"/>
    </row>
    <row r="52" ht="24" customHeight="1">
      <c r="A52" s="42" t="inlineStr">
        <is>
          <t>mNAV floor below which no common is sold</t>
        </is>
      </c>
      <c r="B52" s="58" t="n">
        <v>1</v>
      </c>
      <c r="C52" s="2" t="inlineStr">
        <is>
          <t>x</t>
        </is>
      </c>
      <c r="D52" s="2" t="inlineStr">
        <is>
          <t>2026-10-16</t>
        </is>
      </c>
      <c r="E52" s="2" t="inlineStr">
        <is>
          <t>Model assumption</t>
        </is>
      </c>
      <c r="F52" s="45" t="inlineStr">
        <is>
          <t>No filed 1x policy found. Issuing below 1x cuts BTC per share; CEO statements (secondary) call BTC sales below 1x a last resort. Strategy redefined mNAV on Jul 23 2026</t>
        </is>
      </c>
    </row>
    <row r="53">
      <c r="A53" s="42" t="inlineStr">
        <is>
          <t>Apply the mNAV floor?</t>
        </is>
      </c>
      <c r="B53" s="4" t="inlineStr">
        <is>
          <t>Yes</t>
        </is>
      </c>
      <c r="C53" s="2" t="inlineStr">
        <is>
          <t>Yes/No</t>
        </is>
      </c>
      <c r="D53" s="2" t="inlineStr">
        <is>
          <t>2026-10-16</t>
        </is>
      </c>
      <c r="E53" s="2" t="inlineStr">
        <is>
          <t>Model assumption</t>
        </is>
      </c>
      <c r="F53" s="45" t="inlineStr">
        <is>
          <t>Yes = no common sales below the floor</t>
        </is>
      </c>
    </row>
    <row r="54">
      <c r="A54" s="42" t="inlineStr">
        <is>
          <t>Cap common sales at the remaining MSTR ATM?</t>
        </is>
      </c>
      <c r="B54" s="4" t="inlineStr">
        <is>
          <t>Yes</t>
        </is>
      </c>
      <c r="C54" s="2" t="inlineStr">
        <is>
          <t>Yes/No</t>
        </is>
      </c>
      <c r="D54" s="2" t="inlineStr">
        <is>
          <t>2026-10-16</t>
        </is>
      </c>
      <c r="E54" s="2" t="inlineStr">
        <is>
          <t>Model assumption</t>
        </is>
      </c>
      <c r="F54" s="45" t="inlineStr">
        <is>
          <t>No = assume new ATM programs get filed (Strategy added $21.0B on Mar 23 2026)</t>
        </is>
      </c>
    </row>
    <row r="55">
      <c r="A55" s="42" t="inlineStr">
        <is>
          <t>Count USD Cash toward fixed charges?</t>
        </is>
      </c>
      <c r="B55" s="4" t="inlineStr">
        <is>
          <t>No</t>
        </is>
      </c>
      <c r="C55" s="2" t="inlineStr">
        <is>
          <t>Yes/No</t>
        </is>
      </c>
      <c r="D55" s="2" t="inlineStr">
        <is>
          <t>2026-10-16</t>
        </is>
      </c>
      <c r="E55" s="2" t="inlineStr">
        <is>
          <t>Model assumption</t>
        </is>
      </c>
      <c r="F55" s="45" t="inlineStr">
        <is>
          <t>Default No: only the Reserve is designated for dividends and interest</t>
        </is>
      </c>
    </row>
    <row r="56">
      <c r="A56" s="42" t="inlineStr">
        <is>
          <t>Top up the Reserve with BTC sales (up to the cap)?</t>
        </is>
      </c>
      <c r="B56" s="4" t="inlineStr">
        <is>
          <t>No</t>
        </is>
      </c>
      <c r="C56" s="2" t="inlineStr">
        <is>
          <t>Yes/No</t>
        </is>
      </c>
      <c r="D56" s="2" t="inlineStr">
        <is>
          <t>2026-10-16</t>
        </is>
      </c>
      <c r="E56" s="2" t="inlineStr">
        <is>
          <t>Model assumption</t>
        </is>
      </c>
      <c r="F56" s="45" t="inlineStr">
        <is>
          <t>Yes adds MIN(cap, BTC NAV) to the Reserve</t>
        </is>
      </c>
    </row>
    <row r="57">
      <c r="A57" s="42" t="inlineStr">
        <is>
          <t>Pay STRK dividends in MSTR shares?</t>
        </is>
      </c>
      <c r="B57" s="4" t="inlineStr">
        <is>
          <t>No</t>
        </is>
      </c>
      <c r="C57" s="2" t="inlineStr">
        <is>
          <t>Yes/No</t>
        </is>
      </c>
      <c r="D57" s="2" t="inlineStr">
        <is>
          <t>2026-10-16</t>
        </is>
      </c>
      <c r="E57" s="2" t="inlineStr">
        <is>
          <t>Model assumption</t>
        </is>
      </c>
      <c r="F57" s="45" t="inlineStr">
        <is>
          <t>Yes removes STRK from cash charges (the certificate allows it)</t>
        </is>
      </c>
    </row>
    <row r="58">
      <c r="A58" s="42" t="inlineStr">
        <is>
          <t>Target coverage horizon</t>
        </is>
      </c>
      <c r="B58" s="59" t="n">
        <v>5</v>
      </c>
      <c r="C58" s="2" t="inlineStr">
        <is>
          <t>years</t>
        </is>
      </c>
      <c r="D58" s="2" t="inlineStr">
        <is>
          <t>2026-10-16</t>
        </is>
      </c>
      <c r="E58" s="2" t="inlineStr">
        <is>
          <t>Model assumption</t>
        </is>
      </c>
      <c r="F58" s="45" t="inlineStr">
        <is>
          <t>Used for the breakeven BTC price and grid shading</t>
        </is>
      </c>
    </row>
    <row r="59">
      <c r="A59" s="42" t="inlineStr">
        <is>
          <t>Display cap for coverage</t>
        </is>
      </c>
      <c r="B59" s="53" t="n">
        <v>50</v>
      </c>
      <c r="C59" s="2" t="inlineStr">
        <is>
          <t>years</t>
        </is>
      </c>
      <c r="D59" s="2" t="inlineStr">
        <is>
          <t>2026-10-16</t>
        </is>
      </c>
      <c r="E59" s="2" t="inlineStr">
        <is>
          <t>Model assumption</t>
        </is>
      </c>
      <c r="F59" s="45" t="inlineStr">
        <is>
          <t>Coverage at or above this shows as '&gt;=50 yrs' (self-funding)</t>
        </is>
      </c>
    </row>
    <row r="60">
      <c r="A60" s="42" t="inlineStr">
        <is>
          <t>Management estimate: annual dividends + interest</t>
        </is>
      </c>
      <c r="B60" s="52" t="n">
        <v>1703</v>
      </c>
      <c r="C60" s="2" t="inlineStr">
        <is>
          <t>$m</t>
        </is>
      </c>
      <c r="D60" s="2" t="inlineStr">
        <is>
          <t>2026-08-23</t>
        </is>
      </c>
      <c r="E60" s="44" t="inlineStr">
        <is>
          <t>https://www.sec.gov/Archives/edgar/data/1050446/000119312526363557/d431748dfwp.htm</t>
        </is>
      </c>
      <c r="F60" s="45" t="inlineStr">
        <is>
          <t>FWP filed Aug 24 2026. Earlier: $1.76B (Jun 30), $1.736B (Aug 9)</t>
        </is>
      </c>
    </row>
    <row r="61">
      <c r="A61" s="42" t="inlineStr">
        <is>
          <t>Reconciliation tolerance vs management estimate</t>
        </is>
      </c>
      <c r="B61" s="60" t="n">
        <v>0.02</v>
      </c>
      <c r="C61" s="2" t="inlineStr">
        <is>
          <t>%</t>
        </is>
      </c>
      <c r="D61" s="2" t="inlineStr">
        <is>
          <t>2026-10-16</t>
        </is>
      </c>
      <c r="E61" s="2" t="inlineStr">
        <is>
          <t>Model assumption</t>
        </is>
      </c>
      <c r="F61" s="45" t="inlineStr">
        <is>
          <t>After adjusting for STRC buybacks since Aug 23</t>
        </is>
      </c>
    </row>
    <row r="63">
      <c r="A63" s="40" t="inlineStr">
        <is>
          <t>STRC notional bridge: Jun 30 10-Q to the latest weekly 8-K</t>
        </is>
      </c>
      <c r="B63" s="41" t="n"/>
      <c r="C63" s="41" t="n"/>
      <c r="D63" s="41" t="n"/>
      <c r="E63" s="41" t="n"/>
      <c r="F63" s="41" t="n"/>
    </row>
    <row r="64">
      <c r="A64" s="42" t="inlineStr">
        <is>
          <t>STRC shares, Jun 30 2026</t>
        </is>
      </c>
      <c r="B64" s="61">
        <f>STRC_Notional_0630/STRC_LiqPref</f>
        <v/>
      </c>
      <c r="C64" s="2" t="inlineStr">
        <is>
          <t>m shares</t>
        </is>
      </c>
    </row>
    <row r="65">
      <c r="A65" s="42" t="inlineStr">
        <is>
          <t>less: repurchased Jul 1-Oct 11</t>
        </is>
      </c>
      <c r="B65" s="61">
        <f>-STRC_Repurchased_Shares</f>
        <v/>
      </c>
      <c r="C65" s="2" t="inlineStr">
        <is>
          <t>m shares</t>
        </is>
      </c>
    </row>
    <row r="66">
      <c r="A66" s="42" t="inlineStr">
        <is>
          <t>plus: issued via ATM</t>
        </is>
      </c>
      <c r="B66" s="61">
        <f>STRC_Issued_Shares</f>
        <v/>
      </c>
      <c r="C66" s="2" t="inlineStr">
        <is>
          <t>m shares</t>
        </is>
      </c>
    </row>
    <row r="67">
      <c r="A67" s="3" t="inlineStr">
        <is>
          <t>STRC shares, latest</t>
        </is>
      </c>
      <c r="B67" s="62">
        <f>SUM(B64:B66)</f>
        <v/>
      </c>
      <c r="C67" s="2" t="inlineStr">
        <is>
          <t>m shares</t>
        </is>
      </c>
    </row>
    <row r="68">
      <c r="A68" s="3" t="inlineStr">
        <is>
          <t>STRC notional, latest</t>
        </is>
      </c>
      <c r="B68" s="63">
        <f>STRC_Shares_Now*STRC_LiqPref</f>
        <v/>
      </c>
      <c r="C68" s="2" t="inlineStr">
        <is>
          <t>$m</t>
        </is>
      </c>
      <c r="F68" s="45" t="inlineStr">
        <is>
          <t>Rebuilt from filings (assumes repurchased shares are retired). Replace with the Q3 10-Q figure when published.</t>
        </is>
      </c>
    </row>
    <row r="70">
      <c r="A70" s="40" t="inlineStr">
        <is>
          <t>Convertible notes (Q2 2026 10-Q, Note 6). Holder put dates fall inside the 8-quarter runway</t>
        </is>
      </c>
      <c r="B70" s="41" t="n"/>
      <c r="C70" s="41" t="n"/>
      <c r="D70" s="41" t="n"/>
      <c r="E70" s="41" t="n"/>
      <c r="F70" s="41" t="n"/>
    </row>
    <row r="71">
      <c r="A71" s="8" t="inlineStr">
        <is>
          <t>Note</t>
        </is>
      </c>
      <c r="B71" s="9" t="inlineStr">
        <is>
          <t>Principal ($m)</t>
        </is>
      </c>
      <c r="C71" s="9" t="inlineStr">
        <is>
          <t>Coupon</t>
        </is>
      </c>
      <c r="D71" s="9" t="inlineStr">
        <is>
          <t>Maturity</t>
        </is>
      </c>
      <c r="E71" s="9" t="inlineStr">
        <is>
          <t>Holder put</t>
        </is>
      </c>
      <c r="F71" s="9" t="inlineStr">
        <is>
          <t>Annual coupon ($m)</t>
        </is>
      </c>
    </row>
    <row r="72">
      <c r="A72" s="42" t="inlineStr">
        <is>
          <t>2028 notes</t>
        </is>
      </c>
      <c r="B72" s="52" t="n">
        <v>1010</v>
      </c>
      <c r="C72" s="64" t="n">
        <v>0.00625</v>
      </c>
      <c r="D72" s="65" t="n">
        <v>47011</v>
      </c>
      <c r="E72" s="65" t="n">
        <v>46645</v>
      </c>
      <c r="F72" s="66">
        <f>B72*C72</f>
        <v/>
      </c>
    </row>
    <row r="73">
      <c r="A73" s="42" t="inlineStr">
        <is>
          <t>2029 notes</t>
        </is>
      </c>
      <c r="B73" s="52" t="n">
        <v>1500</v>
      </c>
      <c r="C73" s="64" t="n">
        <v>0</v>
      </c>
      <c r="D73" s="65" t="n">
        <v>47453</v>
      </c>
      <c r="E73" s="65" t="n">
        <v>46905</v>
      </c>
      <c r="F73" s="66">
        <f>B73*C73</f>
        <v/>
      </c>
    </row>
    <row r="74">
      <c r="A74" s="42" t="inlineStr">
        <is>
          <t>2030A notes</t>
        </is>
      </c>
      <c r="B74" s="52" t="n">
        <v>800</v>
      </c>
      <c r="C74" s="64" t="n">
        <v>0.00625</v>
      </c>
      <c r="D74" s="65" t="n">
        <v>47557</v>
      </c>
      <c r="E74" s="65" t="n">
        <v>47011</v>
      </c>
      <c r="F74" s="66">
        <f>B74*C74</f>
        <v/>
      </c>
    </row>
    <row r="75">
      <c r="A75" s="42" t="inlineStr">
        <is>
          <t>2030B notes</t>
        </is>
      </c>
      <c r="B75" s="52" t="n">
        <v>2000</v>
      </c>
      <c r="C75" s="64" t="n">
        <v>0</v>
      </c>
      <c r="D75" s="65" t="n">
        <v>47543</v>
      </c>
      <c r="E75" s="65" t="n">
        <v>46813</v>
      </c>
      <c r="F75" s="66">
        <f>B75*C75</f>
        <v/>
      </c>
    </row>
    <row r="76">
      <c r="A76" s="42" t="inlineStr">
        <is>
          <t>2031 notes</t>
        </is>
      </c>
      <c r="B76" s="52" t="n">
        <v>603.7</v>
      </c>
      <c r="C76" s="64" t="n">
        <v>0.008750000000000001</v>
      </c>
      <c r="D76" s="65" t="n">
        <v>47922</v>
      </c>
      <c r="E76" s="65" t="n">
        <v>47011</v>
      </c>
      <c r="F76" s="66">
        <f>B76*C76</f>
        <v/>
      </c>
    </row>
    <row r="77">
      <c r="A77" s="42" t="inlineStr">
        <is>
          <t>2032 notes</t>
        </is>
      </c>
      <c r="B77" s="52" t="n">
        <v>800</v>
      </c>
      <c r="C77" s="64" t="n">
        <v>0.0225</v>
      </c>
      <c r="D77" s="65" t="n">
        <v>48380</v>
      </c>
      <c r="E77" s="65" t="n">
        <v>47284</v>
      </c>
      <c r="F77" s="66">
        <f>B77*C77</f>
        <v/>
      </c>
    </row>
    <row r="78">
      <c r="A78" s="3" t="inlineStr">
        <is>
          <t>Total convertibles</t>
        </is>
      </c>
      <c r="B78" s="67">
        <f>SUM(B72:B77)</f>
        <v/>
      </c>
      <c r="F78" s="68">
        <f>SUM(F72:F77)</f>
        <v/>
      </c>
    </row>
    <row r="79">
      <c r="A79" s="3" t="inlineStr">
        <is>
          <t>Interest on all debt, per year</t>
        </is>
      </c>
      <c r="B79" s="63">
        <f>2*Conv_Coupon_Semi+Other_Debt_Interest</f>
        <v/>
      </c>
      <c r="C79" s="2" t="inlineStr">
        <is>
          <t>$m</t>
        </is>
      </c>
      <c r="F79" s="26" t="inlineStr">
        <is>
          <t>Filed convertible coupon x 2 + other secured debt. The schedule above is a cross-check (see Checks).</t>
        </is>
      </c>
    </row>
    <row r="80">
      <c r="A80" s="26" t="inlineStr">
        <is>
          <t>Puts are at the holder's option and are usually exercised only when MSTR trades below the conversion price (not modelled).</t>
        </is>
      </c>
    </row>
  </sheetData>
  <dataValidations count="1">
    <dataValidation sqref="B53 B54 B55 B56 B57" showDropDown="0" showInputMessage="0" showErrorMessage="0" allowBlank="0" type="list">
      <formula1>"Yes,No"</formula1>
    </dataValidation>
  </dataValidations>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4" r:id="rId8"/>
    <hyperlink xmlns:r="http://schemas.openxmlformats.org/officeDocument/2006/relationships" ref="E15" r:id="rId9"/>
    <hyperlink xmlns:r="http://schemas.openxmlformats.org/officeDocument/2006/relationships" ref="E16" r:id="rId10"/>
    <hyperlink xmlns:r="http://schemas.openxmlformats.org/officeDocument/2006/relationships" ref="E17" r:id="rId11"/>
    <hyperlink xmlns:r="http://schemas.openxmlformats.org/officeDocument/2006/relationships" ref="E18" r:id="rId12"/>
    <hyperlink xmlns:r="http://schemas.openxmlformats.org/officeDocument/2006/relationships" ref="E19" r:id="rId13"/>
    <hyperlink xmlns:r="http://schemas.openxmlformats.org/officeDocument/2006/relationships" ref="E20"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5" r:id="rId18"/>
    <hyperlink xmlns:r="http://schemas.openxmlformats.org/officeDocument/2006/relationships" ref="E26" r:id="rId19"/>
    <hyperlink xmlns:r="http://schemas.openxmlformats.org/officeDocument/2006/relationships" ref="E27" r:id="rId20"/>
    <hyperlink xmlns:r="http://schemas.openxmlformats.org/officeDocument/2006/relationships" ref="E29" r:id="rId21"/>
    <hyperlink xmlns:r="http://schemas.openxmlformats.org/officeDocument/2006/relationships" ref="E30" r:id="rId22"/>
    <hyperlink xmlns:r="http://schemas.openxmlformats.org/officeDocument/2006/relationships" ref="E31" r:id="rId23"/>
    <hyperlink xmlns:r="http://schemas.openxmlformats.org/officeDocument/2006/relationships" ref="E32" r:id="rId24"/>
    <hyperlink xmlns:r="http://schemas.openxmlformats.org/officeDocument/2006/relationships" ref="E33" r:id="rId25"/>
    <hyperlink xmlns:r="http://schemas.openxmlformats.org/officeDocument/2006/relationships" ref="E34" r:id="rId26"/>
    <hyperlink xmlns:r="http://schemas.openxmlformats.org/officeDocument/2006/relationships" ref="E35" r:id="rId27"/>
    <hyperlink xmlns:r="http://schemas.openxmlformats.org/officeDocument/2006/relationships" ref="E36" r:id="rId28"/>
    <hyperlink xmlns:r="http://schemas.openxmlformats.org/officeDocument/2006/relationships" ref="E37" r:id="rId29"/>
    <hyperlink xmlns:r="http://schemas.openxmlformats.org/officeDocument/2006/relationships" ref="E38" r:id="rId30"/>
    <hyperlink xmlns:r="http://schemas.openxmlformats.org/officeDocument/2006/relationships" ref="E39" r:id="rId31"/>
    <hyperlink xmlns:r="http://schemas.openxmlformats.org/officeDocument/2006/relationships" ref="E40" r:id="rId32"/>
    <hyperlink xmlns:r="http://schemas.openxmlformats.org/officeDocument/2006/relationships" ref="E41" r:id="rId33"/>
    <hyperlink xmlns:r="http://schemas.openxmlformats.org/officeDocument/2006/relationships" ref="E42" r:id="rId34"/>
    <hyperlink xmlns:r="http://schemas.openxmlformats.org/officeDocument/2006/relationships" ref="E44" r:id="rId35"/>
    <hyperlink xmlns:r="http://schemas.openxmlformats.org/officeDocument/2006/relationships" ref="E45" r:id="rId36"/>
    <hyperlink xmlns:r="http://schemas.openxmlformats.org/officeDocument/2006/relationships" ref="E46" r:id="rId37"/>
    <hyperlink xmlns:r="http://schemas.openxmlformats.org/officeDocument/2006/relationships" ref="E47" r:id="rId38"/>
    <hyperlink xmlns:r="http://schemas.openxmlformats.org/officeDocument/2006/relationships" ref="E48" r:id="rId39"/>
    <hyperlink xmlns:r="http://schemas.openxmlformats.org/officeDocument/2006/relationships" ref="E60" r:id="rId40"/>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0000FF"/>
    <outlinePr summaryBelow="1" summaryRight="1"/>
    <pageSetUpPr fitToPage="1"/>
  </sheetPr>
  <dimension ref="A1:I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3" customWidth="1" min="7" max="7"/>
    <col width="14" customWidth="1" min="8" max="8"/>
    <col width="64" customWidth="1" min="9" max="9"/>
  </cols>
  <sheetData>
    <row r="1">
      <c r="A1" s="1" t="inlineStr">
        <is>
          <t>Scenarios</t>
        </is>
      </c>
    </row>
    <row r="2">
      <c r="A2" s="2" t="inlineStr">
        <is>
          <t>Pick a case on the Dashboard (cell B4). Base links to Inputs; other columns are blue levers. Live feeds every calculation.</t>
        </is>
      </c>
    </row>
    <row r="4">
      <c r="A4" s="8" t="inlineStr">
        <is>
          <t>Lever</t>
        </is>
      </c>
      <c r="B4" s="9" t="inlineStr">
        <is>
          <t>Base</t>
        </is>
      </c>
      <c r="C4" s="9" t="inlineStr">
        <is>
          <t>Bear</t>
        </is>
      </c>
      <c r="D4" s="9" t="inlineStr">
        <is>
          <t>Severe</t>
        </is>
      </c>
      <c r="E4" s="9" t="inlineStr">
        <is>
          <t>Bull</t>
        </is>
      </c>
      <c r="F4" s="9" t="inlineStr">
        <is>
          <t>Custom</t>
        </is>
      </c>
      <c r="G4" s="9" t="inlineStr"/>
      <c r="H4" s="9" t="inlineStr">
        <is>
          <t>Live</t>
        </is>
      </c>
      <c r="I4" s="9" t="inlineStr">
        <is>
          <t>What it means</t>
        </is>
      </c>
    </row>
    <row r="5">
      <c r="A5" s="42" t="inlineStr">
        <is>
          <t>BTC change vs Base price</t>
        </is>
      </c>
      <c r="B5" s="60" t="n">
        <v>0</v>
      </c>
      <c r="C5" s="60" t="n">
        <v>-0.5</v>
      </c>
      <c r="D5" s="60" t="n">
        <v>-0.7</v>
      </c>
      <c r="E5" s="60" t="n">
        <v>0.5</v>
      </c>
      <c r="F5" s="60" t="n">
        <v>0</v>
      </c>
      <c r="H5" s="69">
        <f>INDEX(B5:F5,MATCH(Scenario_Select,$B$4:$F$4,0))</f>
        <v/>
      </c>
      <c r="I5" s="45" t="inlineStr">
        <is>
          <t>Bear and Severe test large drawdowns</t>
        </is>
      </c>
    </row>
    <row r="6">
      <c r="A6" s="42" t="inlineStr">
        <is>
          <t>BTC price</t>
        </is>
      </c>
      <c r="B6" s="70">
        <f>BTC_Spot*(1+B5)</f>
        <v/>
      </c>
      <c r="C6" s="70">
        <f>BTC_Spot*(1+C5)</f>
        <v/>
      </c>
      <c r="D6" s="70">
        <f>BTC_Spot*(1+D5)</f>
        <v/>
      </c>
      <c r="E6" s="70">
        <f>BTC_Spot*(1+E5)</f>
        <v/>
      </c>
      <c r="F6" s="70">
        <f>BTC_Spot*(1+F5)</f>
        <v/>
      </c>
      <c r="H6" s="71">
        <f>INDEX(B6:F6,MATCH(Scenario_Select,$B$4:$F$4,0))</f>
        <v/>
      </c>
      <c r="I6" s="45" t="inlineStr">
        <is>
          <t>Base price x (1 + change)</t>
        </is>
      </c>
    </row>
    <row r="7">
      <c r="A7" s="42" t="inlineStr">
        <is>
          <t>mNAV</t>
        </is>
      </c>
      <c r="B7" s="72">
        <f>mNAV_Now</f>
        <v/>
      </c>
      <c r="C7" s="73" t="n">
        <v>1</v>
      </c>
      <c r="D7" s="73" t="n">
        <v>0.8</v>
      </c>
      <c r="E7" s="73" t="n">
        <v>1.5</v>
      </c>
      <c r="F7" s="73" t="n">
        <v>1.2</v>
      </c>
      <c r="H7" s="74">
        <f>INDEX(B7:F7,MATCH(Scenario_Select,$B$4:$F$4,0))</f>
        <v/>
      </c>
      <c r="I7" s="45" t="inlineStr">
        <is>
          <t>Base uses today's mNAV. Severe sits below the 1.0x floor, so common sales stop</t>
        </is>
      </c>
    </row>
    <row r="8">
      <c r="A8" s="42" t="inlineStr">
        <is>
          <t>STRC dividend rate</t>
        </is>
      </c>
      <c r="B8" s="75">
        <f>Rate_STRC_Base</f>
        <v/>
      </c>
      <c r="C8" s="56" t="n">
        <v>0.13</v>
      </c>
      <c r="D8" s="56" t="n">
        <v>0.15</v>
      </c>
      <c r="E8" s="56" t="n">
        <v>0.1</v>
      </c>
      <c r="F8" s="56" t="n">
        <v>0.12</v>
      </c>
      <c r="H8" s="76">
        <f>INDEX(B8:F8,MATCH(Scenario_Select,$B$4:$F$4,0))</f>
        <v/>
      </c>
      <c r="I8" s="45" t="inlineStr">
        <is>
          <t>Management resets STRC monthly; stress raises it</t>
        </is>
      </c>
    </row>
    <row r="9">
      <c r="A9" s="42" t="inlineStr">
        <is>
          <t>EUR/USD change vs Base</t>
        </is>
      </c>
      <c r="B9" s="60" t="n">
        <v>0</v>
      </c>
      <c r="C9" s="60" t="n">
        <v>0</v>
      </c>
      <c r="D9" s="60" t="n">
        <v>0.1</v>
      </c>
      <c r="E9" s="60" t="n">
        <v>-0.05</v>
      </c>
      <c r="F9" s="60" t="n">
        <v>0</v>
      </c>
      <c r="H9" s="69">
        <f>INDEX(B9:F9,MATCH(Scenario_Select,$B$4:$F$4,0))</f>
        <v/>
      </c>
      <c r="I9" s="45" t="inlineStr">
        <is>
          <t>A stronger euro raises STRE's dollar cost</t>
        </is>
      </c>
    </row>
    <row r="10">
      <c r="A10" s="42" t="inlineStr">
        <is>
          <t>EUR/USD</t>
        </is>
      </c>
      <c r="B10" s="77">
        <f>EURUSD_Spot*(1+B9)</f>
        <v/>
      </c>
      <c r="C10" s="77">
        <f>EURUSD_Spot*(1+C9)</f>
        <v/>
      </c>
      <c r="D10" s="77">
        <f>EURUSD_Spot*(1+D9)</f>
        <v/>
      </c>
      <c r="E10" s="77">
        <f>EURUSD_Spot*(1+E9)</f>
        <v/>
      </c>
      <c r="F10" s="77">
        <f>EURUSD_Spot*(1+F9)</f>
        <v/>
      </c>
      <c r="H10" s="78">
        <f>INDEX(B10:F10,MATCH(Scenario_Select,$B$4:$F$4,0))</f>
        <v/>
      </c>
      <c r="I10" s="45" t="inlineStr"/>
    </row>
    <row r="11">
      <c r="A11" s="42" t="inlineStr">
        <is>
          <t>MSTR volume vs Base</t>
        </is>
      </c>
      <c r="B11" s="73" t="n">
        <v>1</v>
      </c>
      <c r="C11" s="73" t="n">
        <v>0.8</v>
      </c>
      <c r="D11" s="73" t="n">
        <v>0.6</v>
      </c>
      <c r="E11" s="73" t="n">
        <v>1.2</v>
      </c>
      <c r="F11" s="73" t="n">
        <v>1</v>
      </c>
      <c r="H11" s="74">
        <f>INDEX(B11:F11,MATCH(Scenario_Select,$B$4:$F$4,0))</f>
        <v/>
      </c>
      <c r="I11" s="45" t="inlineStr">
        <is>
          <t>Volume usually dries up in drawdowns</t>
        </is>
      </c>
    </row>
    <row r="12">
      <c r="A12" s="42" t="inlineStr">
        <is>
          <t>MSTR average daily volume (m shares)</t>
        </is>
      </c>
      <c r="B12" s="79">
        <f>MSTR_ADV*B11</f>
        <v/>
      </c>
      <c r="C12" s="79">
        <f>MSTR_ADV*C11</f>
        <v/>
      </c>
      <c r="D12" s="79">
        <f>MSTR_ADV*D11</f>
        <v/>
      </c>
      <c r="E12" s="79">
        <f>MSTR_ADV*E11</f>
        <v/>
      </c>
      <c r="F12" s="79">
        <f>MSTR_ADV*F11</f>
        <v/>
      </c>
      <c r="H12" s="80">
        <f>INDEX(B12:F12,MATCH(Scenario_Select,$B$4:$F$4,0))</f>
        <v/>
      </c>
      <c r="I12" s="45" t="inlineStr"/>
    </row>
    <row r="13">
      <c r="A13" s="42" t="inlineStr">
        <is>
          <t>ATM participation (% of volume)</t>
        </is>
      </c>
      <c r="B13" s="81">
        <f>Participation</f>
        <v/>
      </c>
      <c r="C13" s="60" t="n">
        <v>0.1</v>
      </c>
      <c r="D13" s="60" t="n">
        <v>0.05</v>
      </c>
      <c r="E13" s="60" t="n">
        <v>0.1</v>
      </c>
      <c r="F13" s="60" t="n">
        <v>0.1</v>
      </c>
      <c r="H13" s="69">
        <f>INDEX(B13:F13,MATCH(Scenario_Select,$B$4:$F$4,0))</f>
        <v/>
      </c>
      <c r="I13" s="45" t="inlineStr">
        <is>
          <t>Share of daily volume the ATM can sell</t>
        </is>
      </c>
    </row>
    <row r="15">
      <c r="A15" s="26" t="inlineStr">
        <is>
          <t>Levers are judgement calls, not forecasts. Base uses the latest observed values; Custom is yours to edit.</t>
        </is>
      </c>
    </row>
    <row r="16">
      <c r="A16" s="26" t="inlineStr">
        <is>
          <t>To stress one lever alone, set the Dashboard selector to Custom and change only that row.</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404040"/>
    <outlinePr summaryBelow="1" summaryRight="1"/>
    <pageSetUpPr fitToPage="1"/>
  </sheetPr>
  <dimension ref="A1:Q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6" customWidth="1" min="3" max="3"/>
    <col width="6" customWidth="1" min="4" max="4"/>
    <col width="15" customWidth="1" min="5" max="5"/>
    <col width="15" customWidth="1" min="6" max="6"/>
    <col width="10" customWidth="1" min="7" max="7"/>
    <col width="12" customWidth="1" min="8" max="8"/>
    <col width="9" customWidth="1" min="9" max="9"/>
    <col width="12" customWidth="1" min="10" max="10"/>
    <col width="12" customWidth="1" min="11" max="11"/>
    <col width="12" customWidth="1" min="12" max="12"/>
    <col width="11" customWidth="1" min="13" max="13"/>
    <col width="11" customWidth="1" min="14" max="14"/>
    <col width="12" customWidth="1" min="15" max="15"/>
    <col width="44" customWidth="1" min="16" max="16"/>
    <col width="44" customWidth="1" min="17" max="17"/>
  </cols>
  <sheetData>
    <row r="1">
      <c r="A1" s="1" t="inlineStr">
        <is>
          <t>Instruments</t>
        </is>
      </c>
    </row>
    <row r="2">
      <c r="A2" s="2" t="inlineStr">
        <is>
          <t>One row per preferred, in seniority order. $m. STRE converts at the live EUR/USD rate.</t>
        </is>
      </c>
    </row>
    <row r="4" ht="44" customHeight="1">
      <c r="A4" s="8" t="inlineStr">
        <is>
          <t>Ticker</t>
        </is>
      </c>
      <c r="B4" s="9" t="inlineStr">
        <is>
          <t>Name</t>
        </is>
      </c>
      <c r="C4" s="9" t="inlineStr">
        <is>
          <t>Ccy</t>
        </is>
      </c>
      <c r="D4" s="9" t="inlineStr">
        <is>
          <t>Rank</t>
        </is>
      </c>
      <c r="E4" s="9" t="inlineStr">
        <is>
          <t>Cumulative?</t>
        </is>
      </c>
      <c r="F4" s="9" t="inlineStr">
        <is>
          <t>Dividend paid in</t>
        </is>
      </c>
      <c r="G4" s="9" t="inlineStr">
        <is>
          <t>Rate (live)</t>
        </is>
      </c>
      <c r="H4" s="9" t="inlineStr">
        <is>
          <t>Notional (local m)</t>
        </is>
      </c>
      <c r="I4" s="9" t="inlineStr">
        <is>
          <t>FX to USD</t>
        </is>
      </c>
      <c r="J4" s="9" t="inlineStr">
        <is>
          <t>Notional ($m)</t>
        </is>
      </c>
      <c r="K4" s="9" t="inlineStr">
        <is>
          <t>Annual dividend ($m)</t>
        </is>
      </c>
      <c r="L4" s="9" t="inlineStr">
        <is>
          <t>Paid in cash ($m)</t>
        </is>
      </c>
      <c r="M4" s="9" t="inlineStr">
        <is>
          <t>Quarterly cash ($m)</t>
        </is>
      </c>
      <c r="N4" s="9" t="inlineStr">
        <is>
          <t>Share of cash dividends</t>
        </is>
      </c>
      <c r="O4" s="9" t="inlineStr">
        <is>
          <t>ATM remaining ($m)</t>
        </is>
      </c>
      <c r="P4" s="9" t="inlineStr">
        <is>
          <t>Payment schedule</t>
        </is>
      </c>
      <c r="Q4" s="9" t="inlineStr">
        <is>
          <t>Terms source</t>
        </is>
      </c>
    </row>
    <row r="5" ht="36" customHeight="1">
      <c r="A5" s="3" t="inlineStr">
        <is>
          <t>STRF</t>
        </is>
      </c>
      <c r="B5" s="42" t="inlineStr">
        <is>
          <t>Strife</t>
        </is>
      </c>
      <c r="C5" s="42" t="inlineStr">
        <is>
          <t>USD</t>
        </is>
      </c>
      <c r="D5" s="82">
        <f>Rank_STRF</f>
        <v/>
      </c>
      <c r="E5" s="38" t="inlineStr">
        <is>
          <t>Yes, compounding + step-up</t>
        </is>
      </c>
      <c r="F5" s="38" t="inlineStr">
        <is>
          <t>Cash</t>
        </is>
      </c>
      <c r="G5" s="75">
        <f>Rate_STRF</f>
        <v/>
      </c>
      <c r="H5" s="83">
        <f>Notional_STRF_In</f>
        <v/>
      </c>
      <c r="I5" s="77" t="n">
        <v>1</v>
      </c>
      <c r="J5" s="84">
        <f>H5*I5</f>
        <v/>
      </c>
      <c r="K5" s="84">
        <f>J5*G5</f>
        <v/>
      </c>
      <c r="L5" s="84">
        <f>K5</f>
        <v/>
      </c>
      <c r="M5" s="84">
        <f>L5/4</f>
        <v/>
      </c>
      <c r="N5" s="85">
        <f>IF(Pref_Cash_Div_Total=0,0,L5/Pref_Cash_Div_Total)</f>
        <v/>
      </c>
      <c r="O5" s="83">
        <f>ATM_STRF</f>
        <v/>
      </c>
      <c r="P5" s="86" t="inlineStr">
        <is>
          <t>Quarterly: Mar/Jun/Sep/Dec 31 (record 15th). Daily from Jan 1 2027 if approved Oct 28</t>
        </is>
      </c>
      <c r="Q5" s="86" t="inlineStr">
        <is>
          <t>10-Q Note 10; 10-K Ex. 4.2</t>
        </is>
      </c>
    </row>
    <row r="6" ht="36" customHeight="1">
      <c r="A6" s="3" t="inlineStr">
        <is>
          <t>STRC</t>
        </is>
      </c>
      <c r="B6" s="42" t="inlineStr">
        <is>
          <t>Stretch</t>
        </is>
      </c>
      <c r="C6" s="42" t="inlineStr">
        <is>
          <t>USD</t>
        </is>
      </c>
      <c r="D6" s="82">
        <f>Rank_STRC</f>
        <v/>
      </c>
      <c r="E6" s="38" t="inlineStr">
        <is>
          <t>Yes, compounding</t>
        </is>
      </c>
      <c r="F6" s="38" t="inlineStr">
        <is>
          <t>Cash</t>
        </is>
      </c>
      <c r="G6" s="75">
        <f>L_STRC</f>
        <v/>
      </c>
      <c r="H6" s="83">
        <f>STRC_Notional_Now</f>
        <v/>
      </c>
      <c r="I6" s="77" t="n">
        <v>1</v>
      </c>
      <c r="J6" s="84">
        <f>H6*I6</f>
        <v/>
      </c>
      <c r="K6" s="84">
        <f>J6*G6</f>
        <v/>
      </c>
      <c r="L6" s="84">
        <f>K6</f>
        <v/>
      </c>
      <c r="M6" s="84">
        <f>L6/4</f>
        <v/>
      </c>
      <c r="N6" s="85">
        <f>IF(Pref_Cash_Div_Total=0,0,L6/Pref_Cash_Div_Total)</f>
        <v/>
      </c>
      <c r="O6" s="83">
        <f>ATM_STRC</f>
        <v/>
      </c>
      <c r="P6" s="86" t="inlineStr">
        <is>
          <t>Semi-monthly (15th and month-end). Daily from Nov 1 2026 if approved Oct 28</t>
        </is>
      </c>
      <c r="Q6" s="86" t="inlineStr">
        <is>
          <t>Amended certificate Jun 15 2026; 8-K Oct 16 2026</t>
        </is>
      </c>
    </row>
    <row r="7" ht="36" customHeight="1">
      <c r="A7" s="3" t="inlineStr">
        <is>
          <t>STRE</t>
        </is>
      </c>
      <c r="B7" s="42" t="inlineStr">
        <is>
          <t>Stream</t>
        </is>
      </c>
      <c r="C7" s="42" t="inlineStr">
        <is>
          <t>EUR</t>
        </is>
      </c>
      <c r="D7" s="82">
        <f>Rank_STRE</f>
        <v/>
      </c>
      <c r="E7" s="38" t="inlineStr">
        <is>
          <t>Yes, compounding + step-up</t>
        </is>
      </c>
      <c r="F7" s="38" t="inlineStr">
        <is>
          <t>Cash (EUR)</t>
        </is>
      </c>
      <c r="G7" s="75">
        <f>Rate_STRE</f>
        <v/>
      </c>
      <c r="H7" s="83">
        <f>Notional_STRE_EUR</f>
        <v/>
      </c>
      <c r="I7" s="87">
        <f>L_EURUSD</f>
        <v/>
      </c>
      <c r="J7" s="84">
        <f>H7*I7</f>
        <v/>
      </c>
      <c r="K7" s="84">
        <f>J7*G7</f>
        <v/>
      </c>
      <c r="L7" s="84">
        <f>K7</f>
        <v/>
      </c>
      <c r="M7" s="84">
        <f>L7/4</f>
        <v/>
      </c>
      <c r="N7" s="85">
        <f>IF(Pref_Cash_Div_Total=0,0,L7/Pref_Cash_Div_Total)</f>
        <v/>
      </c>
      <c r="O7" s="88" t="inlineStr">
        <is>
          <t>n/a (LuxSE)</t>
        </is>
      </c>
      <c r="P7" s="86" t="inlineStr">
        <is>
          <t>Quarterly: Mar/Jun/Sep/Dec 31 (record 15th, London). Not in the daily proposal</t>
        </is>
      </c>
      <c r="Q7" s="86" t="inlineStr">
        <is>
          <t>STRE certificate Nov 12 2025; 8-K Aug 31 2026. Listed on Luxembourg Euro MTF</t>
        </is>
      </c>
    </row>
    <row r="8" ht="36" customHeight="1">
      <c r="A8" s="3" t="inlineStr">
        <is>
          <t>STRK</t>
        </is>
      </c>
      <c r="B8" s="42" t="inlineStr">
        <is>
          <t>Strike</t>
        </is>
      </c>
      <c r="C8" s="42" t="inlineStr">
        <is>
          <t>USD</t>
        </is>
      </c>
      <c r="D8" s="82">
        <f>Rank_STRK</f>
        <v/>
      </c>
      <c r="E8" s="38" t="inlineStr">
        <is>
          <t>Yes, compounding</t>
        </is>
      </c>
      <c r="F8" s="38" t="inlineStr">
        <is>
          <t>Cash or MSTR shares</t>
        </is>
      </c>
      <c r="G8" s="75">
        <f>Rate_STRK</f>
        <v/>
      </c>
      <c r="H8" s="83">
        <f>Notional_STRK_In</f>
        <v/>
      </c>
      <c r="I8" s="77" t="n">
        <v>1</v>
      </c>
      <c r="J8" s="84">
        <f>H8*I8</f>
        <v/>
      </c>
      <c r="K8" s="84">
        <f>J8*G8</f>
        <v/>
      </c>
      <c r="L8" s="84">
        <f>IF(STRK_In_Stock="Yes",0,K8)</f>
        <v/>
      </c>
      <c r="M8" s="84">
        <f>L8/4</f>
        <v/>
      </c>
      <c r="N8" s="85">
        <f>IF(Pref_Cash_Div_Total=0,0,L8/Pref_Cash_Div_Total)</f>
        <v/>
      </c>
      <c r="O8" s="83">
        <f>ATM_STRK</f>
        <v/>
      </c>
      <c r="P8" s="86" t="inlineStr">
        <is>
          <t>Quarterly: Mar/Jun/Sep/Dec 31 (record 15th). Daily from Jan 1 2027 if approved</t>
        </is>
      </c>
      <c r="Q8" s="86" t="inlineStr">
        <is>
          <t>10-Q Note 10; 10-K Ex. 4.2. Converts into 0.1 MSTR</t>
        </is>
      </c>
    </row>
    <row r="9" ht="36" customHeight="1">
      <c r="A9" s="3" t="inlineStr">
        <is>
          <t>STRD</t>
        </is>
      </c>
      <c r="B9" s="42" t="inlineStr">
        <is>
          <t>Stride</t>
        </is>
      </c>
      <c r="C9" s="42" t="inlineStr">
        <is>
          <t>USD</t>
        </is>
      </c>
      <c r="D9" s="82">
        <f>Rank_STRD</f>
        <v/>
      </c>
      <c r="E9" s="38" t="inlineStr">
        <is>
          <t>No</t>
        </is>
      </c>
      <c r="F9" s="38" t="inlineStr">
        <is>
          <t>Cash</t>
        </is>
      </c>
      <c r="G9" s="75">
        <f>Rate_STRD</f>
        <v/>
      </c>
      <c r="H9" s="83">
        <f>Notional_STRD_In</f>
        <v/>
      </c>
      <c r="I9" s="77" t="n">
        <v>1</v>
      </c>
      <c r="J9" s="84">
        <f>H9*I9</f>
        <v/>
      </c>
      <c r="K9" s="84">
        <f>J9*G9</f>
        <v/>
      </c>
      <c r="L9" s="84">
        <f>K9</f>
        <v/>
      </c>
      <c r="M9" s="84">
        <f>L9/4</f>
        <v/>
      </c>
      <c r="N9" s="85">
        <f>IF(Pref_Cash_Div_Total=0,0,L9/Pref_Cash_Div_Total)</f>
        <v/>
      </c>
      <c r="O9" s="83">
        <f>ATM_STRD</f>
        <v/>
      </c>
      <c r="P9" s="86" t="inlineStr">
        <is>
          <t>Quarterly: Mar/Jun/Sep/Dec 31 (record 15th). Daily from Jan 1 2027 if approved</t>
        </is>
      </c>
      <c r="Q9" s="86" t="inlineStr">
        <is>
          <t>10-Q Note 10; 10-K Ex. 4.2</t>
        </is>
      </c>
    </row>
    <row r="10">
      <c r="A10" s="3" t="inlineStr">
        <is>
          <t>Total</t>
        </is>
      </c>
      <c r="J10" s="67">
        <f>SUM(J5:J9)</f>
        <v/>
      </c>
      <c r="K10" s="67">
        <f>SUM(K5:K9)</f>
        <v/>
      </c>
      <c r="L10" s="67">
        <f>SUM(L5:L9)</f>
        <v/>
      </c>
      <c r="M10" s="67">
        <f>SUM(M5:M9)</f>
        <v/>
      </c>
      <c r="N10" s="89">
        <f>SUM(N5:N9)</f>
        <v/>
      </c>
    </row>
    <row r="12">
      <c r="A12" s="26" t="inlineStr">
        <is>
          <t>Rank 1 is most senior. All five rank below the convertible notes. STRD is non-cumulative: a skipped STRD dividend is never owed.</t>
        </is>
      </c>
    </row>
    <row r="13">
      <c r="A13" s="26" t="inlineStr">
        <is>
          <t>STRF and STRE: unpaid dividends compound at a rate that steps up 1% per period to 18%, a strong incentive to pay them first.</t>
        </is>
      </c>
    </row>
    <row r="14">
      <c r="A14" s="26" t="inlineStr">
        <is>
          <t>Daily dividends: if approved on Oct 28 2026, STRC pays daily from Nov 1 2026 and STRF/STRK/STRD from Jan 1 2027. Timing changes; annual totals do not.</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404040"/>
    <outlinePr summaryBelow="1" summaryRight="1"/>
    <pageSetUpPr fitToPage="1"/>
  </sheetPr>
  <dimension ref="A1:I3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Obligations</t>
        </is>
      </c>
    </row>
    <row r="2">
      <c r="A2" s="2" t="inlineStr">
        <is>
          <t>Annual cash fixed charges by seniority, then an 8-quarter runway for the USD Reserve under the live scenario.</t>
        </is>
      </c>
    </row>
    <row r="4" ht="32" customHeight="1">
      <c r="A4" s="8" t="inlineStr">
        <is>
          <t>Claim (most senior first)</t>
        </is>
      </c>
      <c r="B4" s="9" t="inlineStr">
        <is>
          <t>Rank</t>
        </is>
      </c>
      <c r="C4" s="9" t="inlineStr">
        <is>
          <t>Annual cash ($m)</t>
        </is>
      </c>
      <c r="D4" s="9" t="inlineStr">
        <is>
          <t>Cumulative ($m)</t>
        </is>
      </c>
      <c r="E4" s="9" t="inlineStr">
        <is>
          <t>Share of total</t>
        </is>
      </c>
      <c r="F4" s="9" t="inlineStr">
        <is>
          <t>Principal / notional ($m)</t>
        </is>
      </c>
      <c r="G4" s="9" t="inlineStr">
        <is>
          <t>Cumulative claim ($m)</t>
        </is>
      </c>
    </row>
    <row r="5">
      <c r="A5" s="42" t="inlineStr">
        <is>
          <t>Debt interest</t>
        </is>
      </c>
      <c r="B5" s="90" t="n">
        <v>0</v>
      </c>
      <c r="C5" s="83">
        <f>Conv_Interest_Annual</f>
        <v/>
      </c>
      <c r="D5" s="84">
        <f>C5</f>
        <v/>
      </c>
      <c r="E5" s="85">
        <f>C5/Charges_Total</f>
        <v/>
      </c>
      <c r="F5" s="83">
        <f>Debt_Principal</f>
        <v/>
      </c>
      <c r="G5" s="84">
        <f>F5</f>
        <v/>
      </c>
    </row>
    <row r="6">
      <c r="A6" s="42" t="inlineStr">
        <is>
          <t>STRF</t>
        </is>
      </c>
      <c r="B6" s="82">
        <f>Rank_STRF</f>
        <v/>
      </c>
      <c r="C6" s="83">
        <f>Div_STRF</f>
        <v/>
      </c>
      <c r="D6" s="84">
        <f>D5+C6</f>
        <v/>
      </c>
      <c r="E6" s="85">
        <f>C6/Charges_Total</f>
        <v/>
      </c>
      <c r="F6" s="83">
        <f>Notional_STRF</f>
        <v/>
      </c>
      <c r="G6" s="84">
        <f>G5+F6</f>
        <v/>
      </c>
    </row>
    <row r="7">
      <c r="A7" s="42" t="inlineStr">
        <is>
          <t>STRC</t>
        </is>
      </c>
      <c r="B7" s="82">
        <f>Rank_STRC</f>
        <v/>
      </c>
      <c r="C7" s="83">
        <f>Div_STRC</f>
        <v/>
      </c>
      <c r="D7" s="84">
        <f>D6+C7</f>
        <v/>
      </c>
      <c r="E7" s="85">
        <f>C7/Charges_Total</f>
        <v/>
      </c>
      <c r="F7" s="83">
        <f>Notional_STRC</f>
        <v/>
      </c>
      <c r="G7" s="84">
        <f>G6+F7</f>
        <v/>
      </c>
    </row>
    <row r="8">
      <c r="A8" s="42" t="inlineStr">
        <is>
          <t>STRE</t>
        </is>
      </c>
      <c r="B8" s="82">
        <f>Rank_STRE</f>
        <v/>
      </c>
      <c r="C8" s="83">
        <f>Div_STRE</f>
        <v/>
      </c>
      <c r="D8" s="84">
        <f>D7+C8</f>
        <v/>
      </c>
      <c r="E8" s="85">
        <f>C8/Charges_Total</f>
        <v/>
      </c>
      <c r="F8" s="83">
        <f>Notional_STRE</f>
        <v/>
      </c>
      <c r="G8" s="84">
        <f>G7+F8</f>
        <v/>
      </c>
    </row>
    <row r="9">
      <c r="A9" s="42" t="inlineStr">
        <is>
          <t>STRK</t>
        </is>
      </c>
      <c r="B9" s="82">
        <f>Rank_STRK</f>
        <v/>
      </c>
      <c r="C9" s="83">
        <f>Div_STRK_Cash</f>
        <v/>
      </c>
      <c r="D9" s="84">
        <f>D8+C9</f>
        <v/>
      </c>
      <c r="E9" s="85">
        <f>C9/Charges_Total</f>
        <v/>
      </c>
      <c r="F9" s="83">
        <f>Notional_STRK</f>
        <v/>
      </c>
      <c r="G9" s="84">
        <f>G8+F9</f>
        <v/>
      </c>
    </row>
    <row r="10">
      <c r="A10" s="42" t="inlineStr">
        <is>
          <t>STRD</t>
        </is>
      </c>
      <c r="B10" s="82">
        <f>Rank_STRD</f>
        <v/>
      </c>
      <c r="C10" s="83">
        <f>Div_STRD</f>
        <v/>
      </c>
      <c r="D10" s="84">
        <f>D9+C10</f>
        <v/>
      </c>
      <c r="E10" s="85">
        <f>C10/Charges_Total</f>
        <v/>
      </c>
      <c r="F10" s="83">
        <f>Notional_STRD</f>
        <v/>
      </c>
      <c r="G10" s="84">
        <f>G9+F10</f>
        <v/>
      </c>
    </row>
    <row r="11">
      <c r="A11" s="3" t="inlineStr">
        <is>
          <t>Total cash fixed charges</t>
        </is>
      </c>
      <c r="C11" s="91">
        <f>SUM(C5:C10)</f>
        <v/>
      </c>
      <c r="F11" s="67">
        <f>SUM(F5:F10)</f>
        <v/>
      </c>
    </row>
    <row r="12">
      <c r="A12" s="26" t="inlineStr">
        <is>
          <t>Rank 0 = debt. STRK shows zero cash if the Inputs toggle pays it in MSTR shares.</t>
        </is>
      </c>
    </row>
    <row r="14">
      <c r="A14" s="40" t="inlineStr">
        <is>
          <t>Reserve runway, next 8 quarters (live scenario). Common stock proceeds pay charges first.</t>
        </is>
      </c>
      <c r="B14" s="41" t="n"/>
      <c r="C14" s="41" t="n"/>
      <c r="D14" s="41" t="n"/>
      <c r="E14" s="41" t="n"/>
      <c r="F14" s="41" t="n"/>
      <c r="G14" s="41" t="n"/>
      <c r="H14" s="41" t="n"/>
      <c r="I14" s="41" t="n"/>
    </row>
    <row r="15">
      <c r="A15" s="8" t="inlineStr">
        <is>
          <t>$m</t>
        </is>
      </c>
      <c r="B15" s="9" t="inlineStr">
        <is>
          <t>Q4 2026</t>
        </is>
      </c>
      <c r="C15" s="9" t="inlineStr">
        <is>
          <t>Q1 2027</t>
        </is>
      </c>
      <c r="D15" s="9" t="inlineStr">
        <is>
          <t>Q2 2027</t>
        </is>
      </c>
      <c r="E15" s="9" t="inlineStr">
        <is>
          <t>Q3 2027</t>
        </is>
      </c>
      <c r="F15" s="9" t="inlineStr">
        <is>
          <t>Q4 2027</t>
        </is>
      </c>
      <c r="G15" s="9" t="inlineStr">
        <is>
          <t>Q1 2028</t>
        </is>
      </c>
      <c r="H15" s="9" t="inlineStr">
        <is>
          <t>Q2 2028</t>
        </is>
      </c>
      <c r="I15" s="9" t="inlineStr">
        <is>
          <t>Q3 2028</t>
        </is>
      </c>
    </row>
    <row r="16">
      <c r="A16" s="2" t="inlineStr">
        <is>
          <t>Quarter starts</t>
        </is>
      </c>
      <c r="B16" s="92" t="n">
        <v>46296</v>
      </c>
      <c r="C16" s="92" t="n">
        <v>46388</v>
      </c>
      <c r="D16" s="92" t="n">
        <v>46478</v>
      </c>
      <c r="E16" s="92" t="n">
        <v>46569</v>
      </c>
      <c r="F16" s="92" t="n">
        <v>46661</v>
      </c>
      <c r="G16" s="92" t="n">
        <v>46753</v>
      </c>
      <c r="H16" s="92" t="n">
        <v>46844</v>
      </c>
      <c r="I16" s="92" t="n">
        <v>46935</v>
      </c>
    </row>
    <row r="17">
      <c r="A17" s="2" t="inlineStr">
        <is>
          <t>Quarter ends</t>
        </is>
      </c>
      <c r="B17" s="92" t="n">
        <v>46387</v>
      </c>
      <c r="C17" s="92" t="n">
        <v>46477</v>
      </c>
      <c r="D17" s="92" t="n">
        <v>46568</v>
      </c>
      <c r="E17" s="92" t="n">
        <v>46660</v>
      </c>
      <c r="F17" s="92" t="n">
        <v>46752</v>
      </c>
      <c r="G17" s="92" t="n">
        <v>46843</v>
      </c>
      <c r="H17" s="92" t="n">
        <v>46934</v>
      </c>
      <c r="I17" s="92" t="n">
        <v>47026</v>
      </c>
    </row>
    <row r="18">
      <c r="A18" s="42" t="inlineStr">
        <is>
          <t>Fixed charges (annual / 4)</t>
        </is>
      </c>
      <c r="B18" s="84">
        <f>Charges_Total/4</f>
        <v/>
      </c>
      <c r="C18" s="84">
        <f>Charges_Total/4</f>
        <v/>
      </c>
      <c r="D18" s="84">
        <f>Charges_Total/4</f>
        <v/>
      </c>
      <c r="E18" s="84">
        <f>Charges_Total/4</f>
        <v/>
      </c>
      <c r="F18" s="84">
        <f>Charges_Total/4</f>
        <v/>
      </c>
      <c r="G18" s="84">
        <f>Charges_Total/4</f>
        <v/>
      </c>
      <c r="H18" s="84">
        <f>Charges_Total/4</f>
        <v/>
      </c>
      <c r="I18" s="84">
        <f>Charges_Total/4</f>
        <v/>
      </c>
    </row>
    <row r="19">
      <c r="A19" s="42" t="inlineStr">
        <is>
          <t>MSTR ATM capacity, opening</t>
        </is>
      </c>
      <c r="B19" s="84">
        <f>ATM_Cap</f>
        <v/>
      </c>
      <c r="C19" s="84">
        <f>MAX(0,B19-B20)</f>
        <v/>
      </c>
      <c r="D19" s="84">
        <f>MAX(0,C19-C20)</f>
        <v/>
      </c>
      <c r="E19" s="84">
        <f>MAX(0,D19-D20)</f>
        <v/>
      </c>
      <c r="F19" s="84">
        <f>MAX(0,E19-E20)</f>
        <v/>
      </c>
      <c r="G19" s="84">
        <f>MAX(0,F19-F20)</f>
        <v/>
      </c>
      <c r="H19" s="84">
        <f>MAX(0,G19-G20)</f>
        <v/>
      </c>
      <c r="I19" s="84">
        <f>MAX(0,H19-H20)</f>
        <v/>
      </c>
    </row>
    <row r="20">
      <c r="A20" s="42" t="inlineStr">
        <is>
          <t>Common stock proceeds used for charges</t>
        </is>
      </c>
      <c r="B20" s="84">
        <f>MIN(Common_Per_Year/4,B18,B19)</f>
        <v/>
      </c>
      <c r="C20" s="84">
        <f>MIN(Common_Per_Year/4,C18,C19)</f>
        <v/>
      </c>
      <c r="D20" s="84">
        <f>MIN(Common_Per_Year/4,D18,D19)</f>
        <v/>
      </c>
      <c r="E20" s="84">
        <f>MIN(Common_Per_Year/4,E18,E19)</f>
        <v/>
      </c>
      <c r="F20" s="84">
        <f>MIN(Common_Per_Year/4,F18,F19)</f>
        <v/>
      </c>
      <c r="G20" s="84">
        <f>MIN(Common_Per_Year/4,G18,G19)</f>
        <v/>
      </c>
      <c r="H20" s="84">
        <f>MIN(Common_Per_Year/4,H18,H19)</f>
        <v/>
      </c>
      <c r="I20" s="84">
        <f>MIN(Common_Per_Year/4,I18,I19)</f>
        <v/>
      </c>
    </row>
    <row r="21">
      <c r="A21" s="42" t="inlineStr">
        <is>
          <t>Draw on the Reserve</t>
        </is>
      </c>
      <c r="B21" s="84">
        <f>B18-B20</f>
        <v/>
      </c>
      <c r="C21" s="84">
        <f>C18-C20</f>
        <v/>
      </c>
      <c r="D21" s="84">
        <f>D18-D20</f>
        <v/>
      </c>
      <c r="E21" s="84">
        <f>E18-E20</f>
        <v/>
      </c>
      <c r="F21" s="84">
        <f>F18-F20</f>
        <v/>
      </c>
      <c r="G21" s="84">
        <f>G18-G20</f>
        <v/>
      </c>
      <c r="H21" s="84">
        <f>H18-H20</f>
        <v/>
      </c>
      <c r="I21" s="84">
        <f>I18-I20</f>
        <v/>
      </c>
    </row>
    <row r="22">
      <c r="A22" s="42" t="inlineStr">
        <is>
          <t>Reserve, opening</t>
        </is>
      </c>
      <c r="B22" s="84">
        <f>Reserve_Live</f>
        <v/>
      </c>
      <c r="C22" s="84">
        <f>B23</f>
        <v/>
      </c>
      <c r="D22" s="84">
        <f>C23</f>
        <v/>
      </c>
      <c r="E22" s="84">
        <f>D23</f>
        <v/>
      </c>
      <c r="F22" s="84">
        <f>E23</f>
        <v/>
      </c>
      <c r="G22" s="84">
        <f>F23</f>
        <v/>
      </c>
      <c r="H22" s="84">
        <f>G23</f>
        <v/>
      </c>
      <c r="I22" s="84">
        <f>H23</f>
        <v/>
      </c>
    </row>
    <row r="23">
      <c r="A23" s="3" t="inlineStr">
        <is>
          <t>Reserve, closing</t>
        </is>
      </c>
      <c r="B23" s="93">
        <f>B22-B21</f>
        <v/>
      </c>
      <c r="C23" s="93">
        <f>C22-C21</f>
        <v/>
      </c>
      <c r="D23" s="93">
        <f>D22-D21</f>
        <v/>
      </c>
      <c r="E23" s="93">
        <f>E22-E21</f>
        <v/>
      </c>
      <c r="F23" s="93">
        <f>F22-F21</f>
        <v/>
      </c>
      <c r="G23" s="93">
        <f>G22-G21</f>
        <v/>
      </c>
      <c r="H23" s="93">
        <f>H22-H21</f>
        <v/>
      </c>
      <c r="I23" s="93">
        <f>I22-I21</f>
        <v/>
      </c>
    </row>
    <row r="24">
      <c r="A24" s="42" t="inlineStr">
        <is>
          <t>Closing Reserve, months of charges</t>
        </is>
      </c>
      <c r="B24" s="79">
        <f>IF(Charges_Total=0,0,B23/Charges_Total*12)</f>
        <v/>
      </c>
      <c r="C24" s="79">
        <f>IF(Charges_Total=0,0,C23/Charges_Total*12)</f>
        <v/>
      </c>
      <c r="D24" s="79">
        <f>IF(Charges_Total=0,0,D23/Charges_Total*12)</f>
        <v/>
      </c>
      <c r="E24" s="79">
        <f>IF(Charges_Total=0,0,E23/Charges_Total*12)</f>
        <v/>
      </c>
      <c r="F24" s="79">
        <f>IF(Charges_Total=0,0,F23/Charges_Total*12)</f>
        <v/>
      </c>
      <c r="G24" s="79">
        <f>IF(Charges_Total=0,0,G23/Charges_Total*12)</f>
        <v/>
      </c>
      <c r="H24" s="79">
        <f>IF(Charges_Total=0,0,H23/Charges_Total*12)</f>
        <v/>
      </c>
      <c r="I24" s="79">
        <f>IF(Charges_Total=0,0,I23/Charges_Total*12)</f>
        <v/>
      </c>
    </row>
    <row r="25">
      <c r="A25" s="42" t="inlineStr">
        <is>
          <t>Status</t>
        </is>
      </c>
      <c r="B25" s="94">
        <f>IF(B23&lt;0,"SHORTFALL",IF(B24&lt;Reserve_Min_Months,"Below policy","ok"))</f>
        <v/>
      </c>
      <c r="C25" s="94">
        <f>IF(C23&lt;0,"SHORTFALL",IF(C24&lt;Reserve_Min_Months,"Below policy","ok"))</f>
        <v/>
      </c>
      <c r="D25" s="94">
        <f>IF(D23&lt;0,"SHORTFALL",IF(D24&lt;Reserve_Min_Months,"Below policy","ok"))</f>
        <v/>
      </c>
      <c r="E25" s="94">
        <f>IF(E23&lt;0,"SHORTFALL",IF(E24&lt;Reserve_Min_Months,"Below policy","ok"))</f>
        <v/>
      </c>
      <c r="F25" s="94">
        <f>IF(F23&lt;0,"SHORTFALL",IF(F24&lt;Reserve_Min_Months,"Below policy","ok"))</f>
        <v/>
      </c>
      <c r="G25" s="94">
        <f>IF(G23&lt;0,"SHORTFALL",IF(G24&lt;Reserve_Min_Months,"Below policy","ok"))</f>
        <v/>
      </c>
      <c r="H25" s="94">
        <f>IF(H23&lt;0,"SHORTFALL",IF(H24&lt;Reserve_Min_Months,"Below policy","ok"))</f>
        <v/>
      </c>
      <c r="I25" s="94">
        <f>IF(I23&lt;0,"SHORTFALL",IF(I24&lt;Reserve_Min_Months,"Below policy","ok"))</f>
        <v/>
      </c>
    </row>
    <row r="26">
      <c r="A26" s="3" t="inlineStr">
        <is>
          <t>Convertible principal puttable this quarter (not a Reserve use)</t>
        </is>
      </c>
      <c r="B26" s="93">
        <f>SUMPRODUCT((Conv_PutDates&gt;=B16)*(Conv_PutDates&lt;=B17)*Conv_Principals)</f>
        <v/>
      </c>
      <c r="C26" s="93">
        <f>SUMPRODUCT((Conv_PutDates&gt;=C16)*(Conv_PutDates&lt;=C17)*Conv_Principals)</f>
        <v/>
      </c>
      <c r="D26" s="93">
        <f>SUMPRODUCT((Conv_PutDates&gt;=D16)*(Conv_PutDates&lt;=D17)*Conv_Principals)</f>
        <v/>
      </c>
      <c r="E26" s="93">
        <f>SUMPRODUCT((Conv_PutDates&gt;=E16)*(Conv_PutDates&lt;=E17)*Conv_Principals)</f>
        <v/>
      </c>
      <c r="F26" s="93">
        <f>SUMPRODUCT((Conv_PutDates&gt;=F16)*(Conv_PutDates&lt;=F17)*Conv_Principals)</f>
        <v/>
      </c>
      <c r="G26" s="93">
        <f>SUMPRODUCT((Conv_PutDates&gt;=G16)*(Conv_PutDates&lt;=G17)*Conv_Principals)</f>
        <v/>
      </c>
      <c r="H26" s="93">
        <f>SUMPRODUCT((Conv_PutDates&gt;=H16)*(Conv_PutDates&lt;=H17)*Conv_Principals)</f>
        <v/>
      </c>
      <c r="I26" s="93">
        <f>SUMPRODUCT((Conv_PutDates&gt;=I16)*(Conv_PutDates&lt;=I17)*Conv_Principals)</f>
        <v/>
      </c>
    </row>
    <row r="27">
      <c r="A27" s="3" t="inlineStr">
        <is>
          <t>Total puttable in the window</t>
        </is>
      </c>
      <c r="B27" s="93">
        <f>SUM(B26:I26)</f>
        <v/>
      </c>
    </row>
    <row r="29">
      <c r="A29" s="26" t="inlineStr">
        <is>
          <t>Accrual timing: each claim is spread evenly across quarters. Actual dates differ (convertibles pay semi-annually; STRC semi-monthly, daily if approved).</t>
        </is>
      </c>
    </row>
    <row r="30">
      <c r="A30" s="26" t="inlineStr">
        <is>
          <t>'Below policy' = closing Reserve under the 12-month minimum. Topping it back up needs equity, BTC sales or board approval to run lower.</t>
        </is>
      </c>
    </row>
    <row r="31">
      <c r="A31" s="26" t="inlineStr">
        <is>
          <t>Puts are principal, not dividends or interest, so the Reserve is not designated for them. They matter because refinancing them competes for the same equity capacity.</t>
        </is>
      </c>
    </row>
  </sheetData>
  <conditionalFormatting sqref="B25:I25">
    <cfRule type="cellIs" priority="1" operator="equal" dxfId="1">
      <formula>"SHORTFALL"</formula>
    </cfRule>
    <cfRule type="cellIs" priority="2" operator="equal" dxfId="5">
      <formula>"Below policy"</formula>
    </cfRule>
  </conditionalFormatting>
  <conditionalFormatting sqref="B26:I26">
    <cfRule type="cellIs" priority="3" operator="greaterThan" dxfId="2">
      <formula>0</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404040"/>
    <outlinePr summaryBelow="1" summaryRight="1"/>
    <pageSetUpPr fitToPage="1"/>
  </sheetPr>
  <dimension ref="A1:D31"/>
  <sheetViews>
    <sheetView showGridLines="0" workbookViewId="0">
      <selection activeCell="A1" sqref="A1"/>
    </sheetView>
  </sheetViews>
  <sheetFormatPr baseColWidth="8" defaultRowHeight="15"/>
  <cols>
    <col width="50" customWidth="1" min="1" max="1"/>
    <col width="16" customWidth="1" min="2" max="2"/>
    <col width="10" customWidth="1" min="3" max="3"/>
    <col width="90" customWidth="1" min="4" max="4"/>
  </cols>
  <sheetData>
    <row r="1">
      <c r="A1" s="1" t="inlineStr">
        <is>
          <t>Liquidity</t>
        </is>
      </c>
    </row>
    <row r="2">
      <c r="A2" s="2" t="inlineStr">
        <is>
          <t>Three sources of cash, kept separate: the USD Reserve, common stock Strategy can sell, and bitcoin.</t>
        </is>
      </c>
    </row>
    <row r="4">
      <c r="A4" s="8" t="inlineStr">
        <is>
          <t>Line</t>
        </is>
      </c>
      <c r="B4" s="9" t="inlineStr">
        <is>
          <t>Value</t>
        </is>
      </c>
      <c r="C4" s="9" t="inlineStr">
        <is>
          <t>Unit</t>
        </is>
      </c>
      <c r="D4" s="9" t="inlineStr">
        <is>
          <t>How it is calculated</t>
        </is>
      </c>
    </row>
    <row r="5">
      <c r="A5" s="40" t="inlineStr">
        <is>
          <t>Today (observed). Gives the Base mNAV</t>
        </is>
      </c>
      <c r="B5" s="41" t="n"/>
      <c r="C5" s="41" t="n"/>
      <c r="D5" s="41" t="n"/>
    </row>
    <row r="6">
      <c r="A6" s="42" t="inlineStr">
        <is>
          <t>Preferred notional at spot FX</t>
        </is>
      </c>
      <c r="B6" s="95">
        <f>Notional_STRF_In+STRC_Notional_Now+Notional_STRK_In+Notional_STRD_In+Notional_STRE_EUR*EURUSD_Spot</f>
        <v/>
      </c>
      <c r="C6" s="2" t="inlineStr">
        <is>
          <t>$m</t>
        </is>
      </c>
      <c r="D6" s="45" t="inlineStr">
        <is>
          <t>Inputs only, so the Base mNAV does not move with the selected scenario</t>
        </is>
      </c>
    </row>
    <row r="7">
      <c r="A7" s="42" t="inlineStr">
        <is>
          <t>MSTR market cap</t>
        </is>
      </c>
      <c r="B7" s="95">
        <f>MSTR_Price*MSTR_Shares</f>
        <v/>
      </c>
      <c r="C7" s="2" t="inlineStr">
        <is>
          <t>$m</t>
        </is>
      </c>
      <c r="D7" s="45" t="inlineStr">
        <is>
          <t>Price x Class A + Class B shares</t>
        </is>
      </c>
    </row>
    <row r="8">
      <c r="A8" s="42" t="inlineStr">
        <is>
          <t>Enterprise value</t>
        </is>
      </c>
      <c r="B8" s="95">
        <f>MSTR_MktCap_Now+Debt_Principal+Pref_Notional_Spot-USD_Reserve-USD_Cash</f>
        <v/>
      </c>
      <c r="C8" s="2" t="inlineStr">
        <is>
          <t>$m</t>
        </is>
      </c>
      <c r="D8" s="45" t="inlineStr">
        <is>
          <t>Market cap + debt + preferred notional - cash (Reserve + USD Cash)</t>
        </is>
      </c>
    </row>
    <row r="9">
      <c r="A9" s="42" t="inlineStr">
        <is>
          <t>Bitcoin NAV</t>
        </is>
      </c>
      <c r="B9" s="95">
        <f>BTC_Held*BTC_Spot/1000000</f>
        <v/>
      </c>
      <c r="C9" s="2" t="inlineStr">
        <is>
          <t>$m</t>
        </is>
      </c>
      <c r="D9" s="45" t="inlineStr">
        <is>
          <t>BTC held x Base BTC price</t>
        </is>
      </c>
    </row>
    <row r="10">
      <c r="A10" s="3" t="inlineStr">
        <is>
          <t>mNAV = enterprise value / bitcoin NAV</t>
        </is>
      </c>
      <c r="B10" s="96">
        <f>EV_Now/BTC_NAV_Now</f>
        <v/>
      </c>
      <c r="C10" s="2" t="inlineStr">
        <is>
          <t>x</t>
        </is>
      </c>
      <c r="D10" s="45" t="inlineStr">
        <is>
          <t>Model definition. Strategy changed its own mNAV definition on Jul 23 2026, so its published figure may differ</t>
        </is>
      </c>
    </row>
    <row r="11">
      <c r="A11" s="40" t="inlineStr">
        <is>
          <t>Live scenario</t>
        </is>
      </c>
      <c r="B11" s="41" t="n"/>
      <c r="C11" s="41" t="n"/>
      <c r="D11" s="41" t="n"/>
    </row>
    <row r="12">
      <c r="A12" s="42" t="inlineStr">
        <is>
          <t>Bitcoin NAV</t>
        </is>
      </c>
      <c r="B12" s="95">
        <f>BTC_Held*L_BTC/1000000</f>
        <v/>
      </c>
      <c r="C12" s="2" t="inlineStr">
        <is>
          <t>$m</t>
        </is>
      </c>
      <c r="D12" s="45" t="inlineStr">
        <is>
          <t>BTC held x live BTC price</t>
        </is>
      </c>
    </row>
    <row r="13">
      <c r="A13" s="42" t="inlineStr">
        <is>
          <t>Implied enterprise value</t>
        </is>
      </c>
      <c r="B13" s="95">
        <f>L_mNAV*BTC_NAV_Live</f>
        <v/>
      </c>
      <c r="C13" s="2" t="inlineStr">
        <is>
          <t>$m</t>
        </is>
      </c>
      <c r="D13" s="45" t="inlineStr">
        <is>
          <t>Live mNAV x bitcoin NAV</t>
        </is>
      </c>
    </row>
    <row r="14">
      <c r="A14" s="42" t="inlineStr">
        <is>
          <t>Cash netted in enterprise value</t>
        </is>
      </c>
      <c r="B14" s="95">
        <f>USD_Reserve+USD_Cash</f>
        <v/>
      </c>
      <c r="C14" s="2" t="inlineStr">
        <is>
          <t>$m</t>
        </is>
      </c>
      <c r="D14" s="45" t="inlineStr">
        <is>
          <t>Reserve + USD Cash</t>
        </is>
      </c>
    </row>
    <row r="15">
      <c r="A15" s="42" t="inlineStr">
        <is>
          <t>Implied MSTR market cap</t>
        </is>
      </c>
      <c r="B15" s="95">
        <f>MAX(0,EV_Live-Debt_Principal-Pref_Notional_Total+Cash_For_EV)</f>
        <v/>
      </c>
      <c r="C15" s="2" t="inlineStr">
        <is>
          <t>$m</t>
        </is>
      </c>
      <c r="D15" s="45" t="inlineStr">
        <is>
          <t>EV - debt - preferred notional + cash, floored at zero. Leverage means equity falls faster than bitcoin</t>
        </is>
      </c>
    </row>
    <row r="16">
      <c r="A16" s="42" t="inlineStr">
        <is>
          <t>Implied MSTR share price</t>
        </is>
      </c>
      <c r="B16" s="97">
        <f>MktCap_Live/MSTR_Shares</f>
        <v/>
      </c>
      <c r="C16" s="2" t="inlineStr">
        <is>
          <t>$/sh</t>
        </is>
      </c>
      <c r="D16" s="45" t="inlineStr">
        <is>
          <t>Market cap / shares. Equals the observed price in Base</t>
        </is>
      </c>
    </row>
    <row r="17">
      <c r="A17" s="40" t="inlineStr">
        <is>
          <t>Source 1: USD Reserve</t>
        </is>
      </c>
      <c r="B17" s="41" t="n"/>
      <c r="C17" s="41" t="n"/>
      <c r="D17" s="41" t="n"/>
    </row>
    <row r="18">
      <c r="A18" s="42" t="inlineStr">
        <is>
          <t>BTC sales added to the Reserve</t>
        </is>
      </c>
      <c r="B18" s="95">
        <f>IF(Include_BTC_Monetization="Yes",MIN(BTC_Monetization_Cap,BTC_NAV_Live),0)</f>
        <v/>
      </c>
      <c r="C18" s="2" t="inlineStr">
        <is>
          <t>$m</t>
        </is>
      </c>
      <c r="D18" s="45" t="inlineStr">
        <is>
          <t>BTC Monetization Program, only if the Inputs toggle says Yes</t>
        </is>
      </c>
    </row>
    <row r="19">
      <c r="A19" s="3" t="inlineStr">
        <is>
          <t>Cash available for fixed charges</t>
        </is>
      </c>
      <c r="B19" s="98">
        <f>USD_Reserve+IF(Include_USD_Cash="Yes",USD_Cash,0)+BTC_Topup</f>
        <v/>
      </c>
      <c r="C19" s="2" t="inlineStr">
        <is>
          <t>$m</t>
        </is>
      </c>
      <c r="D19" s="45" t="inlineStr">
        <is>
          <t>Reserve + USD Cash (toggle) + BTC top-up (toggle)</t>
        </is>
      </c>
    </row>
    <row r="20">
      <c r="A20" s="42" t="inlineStr">
        <is>
          <t>Headroom above the 12-month policy minimum</t>
        </is>
      </c>
      <c r="B20" s="95">
        <f>Reserve_Live-Charges_Total*Reserve_Min_Months/12</f>
        <v/>
      </c>
      <c r="C20" s="2" t="inlineStr">
        <is>
          <t>$m</t>
        </is>
      </c>
      <c r="D20" s="45" t="inlineStr">
        <is>
          <t>Cash the Reserve can spend before it breaches policy</t>
        </is>
      </c>
    </row>
    <row r="21">
      <c r="A21" s="40" t="inlineStr">
        <is>
          <t>Source 2: common stock Strategy can sell</t>
        </is>
      </c>
      <c r="B21" s="41" t="n"/>
      <c r="C21" s="41" t="n"/>
      <c r="D21" s="41" t="n"/>
    </row>
    <row r="22">
      <c r="A22" s="42" t="inlineStr">
        <is>
          <t>MSTR dollar volume per day</t>
        </is>
      </c>
      <c r="B22" s="95">
        <f>L_ADV*MSTR_Price_Live</f>
        <v/>
      </c>
      <c r="C22" s="2" t="inlineStr">
        <is>
          <t>$m/day</t>
        </is>
      </c>
      <c r="D22" s="45" t="inlineStr">
        <is>
          <t>Live ADV (m shares) x implied price</t>
        </is>
      </c>
    </row>
    <row r="23">
      <c r="A23" s="42" t="inlineStr">
        <is>
          <t>Volume-limited sales per year</t>
        </is>
      </c>
      <c r="B23" s="95">
        <f>Dollar_ADV_Live*L_Part*Trading_Days</f>
        <v/>
      </c>
      <c r="C23" s="2" t="inlineStr">
        <is>
          <t>$m/yr</t>
        </is>
      </c>
      <c r="D23" s="45" t="inlineStr">
        <is>
          <t>Dollar ADV x participation x trading days</t>
        </is>
      </c>
    </row>
    <row r="24">
      <c r="A24" s="42" t="inlineStr">
        <is>
          <t>Below the mNAV floor?</t>
        </is>
      </c>
      <c r="B24" s="99">
        <f>AND(Gate_On="Yes",L_mNAV&lt;mNAV_Floor)</f>
        <v/>
      </c>
      <c r="C24" s="2" t="inlineStr"/>
      <c r="D24" s="45" t="inlineStr">
        <is>
          <t>TRUE stops all common sales: issuing below NAV cuts bitcoin per share</t>
        </is>
      </c>
    </row>
    <row r="25">
      <c r="A25" s="3" t="inlineStr">
        <is>
          <t>Common stock sales per year</t>
        </is>
      </c>
      <c r="B25" s="98">
        <f>IF(Gate_Closed,0,Volume_Cap_Year)</f>
        <v/>
      </c>
      <c r="C25" s="2" t="inlineStr">
        <is>
          <t>$m/yr</t>
        </is>
      </c>
      <c r="D25" s="45" t="inlineStr">
        <is>
          <t>Zero when the gate is closed</t>
        </is>
      </c>
    </row>
    <row r="26">
      <c r="A26" s="42" t="inlineStr">
        <is>
          <t>Registered capacity limiting total sales</t>
        </is>
      </c>
      <c r="B26" s="95">
        <f>IF(ATM_Binding="Yes",ATM_MSTR_Remaining,1000000000)</f>
        <v/>
      </c>
      <c r="C26" s="2" t="inlineStr">
        <is>
          <t>$m</t>
        </is>
      </c>
      <c r="D26" s="45" t="inlineStr">
        <is>
          <t>Remaining MSTR ATM, or effectively unlimited if the toggle assumes new programs</t>
        </is>
      </c>
    </row>
    <row r="27">
      <c r="A27" s="42" t="inlineStr">
        <is>
          <t>Shares to issue for one year of charges, % of shares</t>
        </is>
      </c>
      <c r="B27" s="100">
        <f>IF(Gate_Closed,"no sales (gate)",IF(MktCap_Live=0,"wiped out",Charges_Total/MktCap_Live))</f>
        <v/>
      </c>
      <c r="C27" s="2" t="inlineStr"/>
      <c r="D27" s="45" t="inlineStr">
        <is>
          <t>Charges / implied market cap. Text when no common can be sold</t>
        </is>
      </c>
    </row>
    <row r="28">
      <c r="A28" s="40" t="inlineStr">
        <is>
          <t>Source 3: bitcoin</t>
        </is>
      </c>
      <c r="B28" s="41" t="n"/>
      <c r="C28" s="41" t="n"/>
      <c r="D28" s="41" t="n"/>
    </row>
    <row r="29">
      <c r="A29" s="42" t="inlineStr">
        <is>
          <t>BTC to sell for one year of charges</t>
        </is>
      </c>
      <c r="B29" s="101">
        <f>Charges_Total*1000000/L_BTC</f>
        <v/>
      </c>
      <c r="C29" s="2" t="inlineStr">
        <is>
          <t>BTC</t>
        </is>
      </c>
      <c r="D29" s="45" t="inlineStr">
        <is>
          <t>Charges / live BTC price</t>
        </is>
      </c>
    </row>
    <row r="30">
      <c r="A30" s="3" t="inlineStr">
        <is>
          <t>...as a share of holdings</t>
        </is>
      </c>
      <c r="B30" s="102">
        <f>BTC_Per_Year/BTC_Held</f>
        <v/>
      </c>
      <c r="C30" s="2" t="inlineStr"/>
      <c r="D30" s="45" t="inlineStr"/>
    </row>
    <row r="31">
      <c r="A31" s="42" t="inlineStr">
        <is>
          <t>Years of charges the bitcoin could fund</t>
        </is>
      </c>
      <c r="B31" s="103">
        <f>BTC_NAV_Live/Charges_Total</f>
        <v/>
      </c>
      <c r="C31" s="2" t="inlineStr">
        <is>
          <t>yrs</t>
        </is>
      </c>
      <c r="D31" s="45" t="inlineStr">
        <is>
          <t>Ignores taxes and the price impact of selling</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404040"/>
    <outlinePr summaryBelow="1" summaryRight="1"/>
    <pageSetUpPr fitToPage="1"/>
  </sheetPr>
  <dimension ref="A1:H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 width="14" customWidth="1" min="4" max="4"/>
    <col width="16" customWidth="1" min="5" max="5"/>
    <col width="15" customWidth="1" min="6" max="6"/>
    <col width="13" customWidth="1" min="7" max="7"/>
    <col width="14" customWidth="1" min="8" max="8"/>
  </cols>
  <sheetData>
    <row r="1">
      <c r="A1" s="1" t="inlineStr">
        <is>
          <t>Coverage</t>
        </is>
      </c>
    </row>
    <row r="2">
      <c r="A2" s="2" t="inlineStr">
        <is>
          <t>How long each source lasts, cumulatively down the seniority stack. A claim is covered only after everything above it is paid.</t>
        </is>
      </c>
    </row>
    <row r="4" ht="44" customHeight="1">
      <c r="A4" s="8" t="inlineStr">
        <is>
          <t>Down to and including</t>
        </is>
      </c>
      <c r="B4" s="9" t="inlineStr">
        <is>
          <t>Cumulative charges ($m)</t>
        </is>
      </c>
      <c r="C4" s="9" t="inlineStr">
        <is>
          <t>Reserve alone (months)</t>
        </is>
      </c>
      <c r="D4" s="9" t="inlineStr">
        <is>
          <t>Reserve alone (years)</t>
        </is>
      </c>
      <c r="E4" s="9" t="inlineStr">
        <is>
          <t>Reserve + common (years)</t>
        </is>
      </c>
      <c r="F4" s="9" t="inlineStr">
        <is>
          <t>Cumulative claims ($m)</t>
        </is>
      </c>
      <c r="G4" s="9" t="inlineStr">
        <is>
          <t>BTC cover (x)</t>
        </is>
      </c>
      <c r="H4" s="9" t="inlineStr">
        <is>
          <t>Charges / BTC NAV</t>
        </is>
      </c>
    </row>
    <row r="5">
      <c r="A5" s="104">
        <f>Obligations!A5</f>
        <v/>
      </c>
      <c r="B5" s="83">
        <f>Obligations!D5</f>
        <v/>
      </c>
      <c r="C5" s="105">
        <f>IF(B5=0,Display_Cap*12,MIN(Display_Cap*12,Reserve_Live/B5*12))</f>
        <v/>
      </c>
      <c r="D5" s="106">
        <f>IF(B5=0,Display_Cap,MIN(Display_Cap,Reserve_Live/B5))</f>
        <v/>
      </c>
      <c r="E5" s="107">
        <f>MIN(Display_Cap,IF(AND(Common_Per_Year&lt;B5,Common_Per_Year*Reserve_Live/(B5-Common_Per_Year)&lt;=ATM_Cap),Reserve_Live/(B5-Common_Per_Year),(Reserve_Live+ATM_Cap)/B5))</f>
        <v/>
      </c>
      <c r="F5" s="83">
        <f>Obligations!G5</f>
        <v/>
      </c>
      <c r="G5" s="108">
        <f>BTC_NAV_Live/F5</f>
        <v/>
      </c>
      <c r="H5" s="109">
        <f>B5/BTC_NAV_Live</f>
        <v/>
      </c>
    </row>
    <row r="6">
      <c r="A6" s="104">
        <f>Obligations!A6</f>
        <v/>
      </c>
      <c r="B6" s="83">
        <f>Obligations!D6</f>
        <v/>
      </c>
      <c r="C6" s="105">
        <f>IF(B6=0,Display_Cap*12,MIN(Display_Cap*12,Reserve_Live/B6*12))</f>
        <v/>
      </c>
      <c r="D6" s="106">
        <f>IF(B6=0,Display_Cap,MIN(Display_Cap,Reserve_Live/B6))</f>
        <v/>
      </c>
      <c r="E6" s="107">
        <f>MIN(Display_Cap,IF(AND(Common_Per_Year&lt;B6,Common_Per_Year*Reserve_Live/(B6-Common_Per_Year)&lt;=ATM_Cap),Reserve_Live/(B6-Common_Per_Year),(Reserve_Live+ATM_Cap)/B6))</f>
        <v/>
      </c>
      <c r="F6" s="83">
        <f>Obligations!G6</f>
        <v/>
      </c>
      <c r="G6" s="108">
        <f>BTC_NAV_Live/F6</f>
        <v/>
      </c>
      <c r="H6" s="109">
        <f>B6/BTC_NAV_Live</f>
        <v/>
      </c>
    </row>
    <row r="7">
      <c r="A7" s="104">
        <f>Obligations!A7</f>
        <v/>
      </c>
      <c r="B7" s="83">
        <f>Obligations!D7</f>
        <v/>
      </c>
      <c r="C7" s="105">
        <f>IF(B7=0,Display_Cap*12,MIN(Display_Cap*12,Reserve_Live/B7*12))</f>
        <v/>
      </c>
      <c r="D7" s="106">
        <f>IF(B7=0,Display_Cap,MIN(Display_Cap,Reserve_Live/B7))</f>
        <v/>
      </c>
      <c r="E7" s="107">
        <f>MIN(Display_Cap,IF(AND(Common_Per_Year&lt;B7,Common_Per_Year*Reserve_Live/(B7-Common_Per_Year)&lt;=ATM_Cap),Reserve_Live/(B7-Common_Per_Year),(Reserve_Live+ATM_Cap)/B7))</f>
        <v/>
      </c>
      <c r="F7" s="83">
        <f>Obligations!G7</f>
        <v/>
      </c>
      <c r="G7" s="108">
        <f>BTC_NAV_Live/F7</f>
        <v/>
      </c>
      <c r="H7" s="109">
        <f>B7/BTC_NAV_Live</f>
        <v/>
      </c>
    </row>
    <row r="8">
      <c r="A8" s="104">
        <f>Obligations!A8</f>
        <v/>
      </c>
      <c r="B8" s="83">
        <f>Obligations!D8</f>
        <v/>
      </c>
      <c r="C8" s="105">
        <f>IF(B8=0,Display_Cap*12,MIN(Display_Cap*12,Reserve_Live/B8*12))</f>
        <v/>
      </c>
      <c r="D8" s="106">
        <f>IF(B8=0,Display_Cap,MIN(Display_Cap,Reserve_Live/B8))</f>
        <v/>
      </c>
      <c r="E8" s="107">
        <f>MIN(Display_Cap,IF(AND(Common_Per_Year&lt;B8,Common_Per_Year*Reserve_Live/(B8-Common_Per_Year)&lt;=ATM_Cap),Reserve_Live/(B8-Common_Per_Year),(Reserve_Live+ATM_Cap)/B8))</f>
        <v/>
      </c>
      <c r="F8" s="83">
        <f>Obligations!G8</f>
        <v/>
      </c>
      <c r="G8" s="108">
        <f>BTC_NAV_Live/F8</f>
        <v/>
      </c>
      <c r="H8" s="109">
        <f>B8/BTC_NAV_Live</f>
        <v/>
      </c>
    </row>
    <row r="9">
      <c r="A9" s="104">
        <f>Obligations!A9</f>
        <v/>
      </c>
      <c r="B9" s="83">
        <f>Obligations!D9</f>
        <v/>
      </c>
      <c r="C9" s="105">
        <f>IF(B9=0,Display_Cap*12,MIN(Display_Cap*12,Reserve_Live/B9*12))</f>
        <v/>
      </c>
      <c r="D9" s="106">
        <f>IF(B9=0,Display_Cap,MIN(Display_Cap,Reserve_Live/B9))</f>
        <v/>
      </c>
      <c r="E9" s="107">
        <f>MIN(Display_Cap,IF(AND(Common_Per_Year&lt;B9,Common_Per_Year*Reserve_Live/(B9-Common_Per_Year)&lt;=ATM_Cap),Reserve_Live/(B9-Common_Per_Year),(Reserve_Live+ATM_Cap)/B9))</f>
        <v/>
      </c>
      <c r="F9" s="83">
        <f>Obligations!G9</f>
        <v/>
      </c>
      <c r="G9" s="108">
        <f>BTC_NAV_Live/F9</f>
        <v/>
      </c>
      <c r="H9" s="109">
        <f>B9/BTC_NAV_Live</f>
        <v/>
      </c>
    </row>
    <row r="10">
      <c r="A10" s="104">
        <f>Obligations!A10</f>
        <v/>
      </c>
      <c r="B10" s="83">
        <f>Obligations!D10</f>
        <v/>
      </c>
      <c r="C10" s="105">
        <f>IF(B10=0,Display_Cap*12,MIN(Display_Cap*12,Reserve_Live/B10*12))</f>
        <v/>
      </c>
      <c r="D10" s="106">
        <f>IF(B10=0,Display_Cap,MIN(Display_Cap,Reserve_Live/B10))</f>
        <v/>
      </c>
      <c r="E10" s="107">
        <f>MIN(Display_Cap,IF(AND(Common_Per_Year&lt;B10,Common_Per_Year*Reserve_Live/(B10-Common_Per_Year)&lt;=ATM_Cap),Reserve_Live/(B10-Common_Per_Year),(Reserve_Live+ATM_Cap)/B10))</f>
        <v/>
      </c>
      <c r="F10" s="83">
        <f>Obligations!G10</f>
        <v/>
      </c>
      <c r="G10" s="108">
        <f>BTC_NAV_Live/F10</f>
        <v/>
      </c>
      <c r="H10" s="109">
        <f>B10/BTC_NAV_Live</f>
        <v/>
      </c>
    </row>
    <row r="13">
      <c r="A13" s="40" t="inlineStr">
        <is>
          <t>Breakevens (closed form; verify any with Data &gt; What-If Analysis &gt; Goal Seek)</t>
        </is>
      </c>
      <c r="B13" s="41" t="n"/>
      <c r="C13" s="41" t="n"/>
      <c r="D13" s="41" t="n"/>
      <c r="E13" s="41" t="n"/>
      <c r="F13" s="41" t="n"/>
      <c r="G13" s="41" t="n"/>
      <c r="H13" s="41" t="n"/>
    </row>
    <row r="14">
      <c r="A14" s="42" t="inlineStr">
        <is>
          <t>BTC price where bitcoin = debt + all preferred notional</t>
        </is>
      </c>
      <c r="E14" s="110">
        <f>Claims_Total*1000000/BTC_Held</f>
        <v/>
      </c>
      <c r="F14" s="26" t="inlineStr">
        <is>
          <t>Below this, the bitcoin is worth less than every claim ahead of common stock</t>
        </is>
      </c>
    </row>
    <row r="15">
      <c r="A15" s="42" t="inlineStr">
        <is>
          <t>BTC price for 2.0x cover</t>
        </is>
      </c>
      <c r="E15" s="110">
        <f>2*BE_BTC_1x</f>
        <v/>
      </c>
      <c r="F15" s="26" t="inlineStr"/>
    </row>
    <row r="16">
      <c r="A16" s="42" t="inlineStr">
        <is>
          <t>Fall from the live BTC price to reach 1.0x</t>
        </is>
      </c>
      <c r="E16" s="111">
        <f>1-BE_BTC_1x/L_BTC</f>
        <v/>
      </c>
      <c r="F16" s="26" t="inlineStr"/>
    </row>
    <row r="17">
      <c r="A17" s="42" t="inlineStr">
        <is>
          <t>Common sales per year needed to cover Target_Years</t>
        </is>
      </c>
      <c r="E17" s="98">
        <f>MAX(0,Charges_Total-Reserve_Live/Target_Years)</f>
        <v/>
      </c>
      <c r="F17" s="26" t="inlineStr">
        <is>
          <t>Zero means the Reserve alone covers the target</t>
        </is>
      </c>
    </row>
    <row r="18">
      <c r="A18" s="42" t="inlineStr">
        <is>
          <t>BTC price that still funds Target_Years at the live mNAV</t>
        </is>
      </c>
      <c r="E18" s="110">
        <f>IF(Common_Needed=0,"Reserve alone covers it",IF((Reserve_Live+ATM_Cap)/Charges_Total&lt;Target_Years,"Not reachable: ATM capacity",IF(Gate_Closed,"Not reachable: below mNAV floor",(Common_Needed*MSTR_Shares/(L_ADV*L_Part*Trading_Days)+Debt_Principal+Pref_Notional_Total-Cash_For_EV)*1000000/(L_mNAV*BTC_Held))))</f>
        <v/>
      </c>
      <c r="F18" s="26" t="inlineStr">
        <is>
          <t>Solves Reserve / (charges - common sales) = Target_Years for BTC, holding mNAV, volume and participation at live values</t>
        </is>
      </c>
    </row>
    <row r="19">
      <c r="A19" s="42" t="inlineStr">
        <is>
          <t>mNAV below which common sales stop</t>
        </is>
      </c>
      <c r="E19" s="96">
        <f>mNAV_Floor</f>
        <v/>
      </c>
      <c r="F19" s="26" t="inlineStr">
        <is>
          <t>The gate. Above it, ATM capacity usually binds before volume does</t>
        </is>
      </c>
    </row>
    <row r="21">
      <c r="A21" s="26" t="inlineStr">
        <is>
          <t>'&gt;=50 yrs' means common sales alone fund the charges up to the display cap. Amber: under Target_Years or under the 12-month Reserve policy. Red: under 1 year or under 1.0x.</t>
        </is>
      </c>
    </row>
  </sheetData>
  <mergeCells count="6">
    <mergeCell ref="A17:D17"/>
    <mergeCell ref="A18:D18"/>
    <mergeCell ref="A15:D15"/>
    <mergeCell ref="A16:D16"/>
    <mergeCell ref="A19:D19"/>
    <mergeCell ref="A14:D14"/>
  </mergeCells>
  <conditionalFormatting sqref="E5:E10">
    <cfRule type="cellIs" priority="1" operator="lessThan" dxfId="3">
      <formula>1</formula>
    </cfRule>
    <cfRule type="cellIs" priority="2" operator="lessThan" dxfId="2">
      <formula>Target_Years</formula>
    </cfRule>
  </conditionalFormatting>
  <conditionalFormatting sqref="C5:C10">
    <cfRule type="cellIs" priority="3" operator="lessThan" dxfId="2">
      <formula>Reserve_Min_Months</formula>
    </cfRule>
  </conditionalFormatting>
  <conditionalFormatting sqref="G5:G10">
    <cfRule type="cellIs" priority="4" operator="lessThan" dxfId="3">
      <formula>1</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404040"/>
    <outlinePr summaryBelow="1" summaryRight="1"/>
    <pageSetUpPr fitToPage="1"/>
  </sheetPr>
  <dimension ref="A1:H8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Stress</t>
        </is>
      </c>
    </row>
    <row r="2">
      <c r="A2" s="2" t="inlineStr">
        <is>
          <t>Each cell reruns the chain for its BTC price and mNAV, holding the other live levers fixed. Plain formulas: they recalculate in any spreadsheet.</t>
        </is>
      </c>
    </row>
    <row r="4">
      <c r="A4" s="40" t="inlineStr">
        <is>
          <t>Grid 1. Common stock Strategy can sell per year ($m)</t>
        </is>
      </c>
      <c r="B4" s="41" t="n"/>
      <c r="C4" s="41" t="n"/>
      <c r="D4" s="41" t="n"/>
      <c r="E4" s="41" t="n"/>
      <c r="F4" s="41" t="n"/>
      <c r="G4" s="41" t="n"/>
      <c r="H4" s="41" t="n"/>
    </row>
    <row r="5">
      <c r="A5" s="2" t="inlineStr">
        <is>
          <t>BTC price ↓   mNAV →</t>
        </is>
      </c>
      <c r="B5" s="112" t="n">
        <v>0.6</v>
      </c>
      <c r="C5" s="112" t="n">
        <v>0.8</v>
      </c>
      <c r="D5" s="112" t="n">
        <v>1</v>
      </c>
      <c r="E5" s="112" t="n">
        <v>1.25</v>
      </c>
      <c r="F5" s="112" t="n">
        <v>1.5</v>
      </c>
      <c r="G5" s="112" t="n">
        <v>2</v>
      </c>
      <c r="H5" s="112" t="n">
        <v>2.5</v>
      </c>
    </row>
    <row r="6">
      <c r="A6" s="46" t="n">
        <v>30000</v>
      </c>
      <c r="B6" s="113">
        <f>IF(AND(Gate_On="Yes",B$5&lt;mNAV_Floor),0,L_ADV*MAX(0,B$5*BTC_Held*$A6/1000000-Debt_Principal-Pref_Notional_Total+Cash_For_EV)/MSTR_Shares*L_Part*Trading_Days)</f>
        <v/>
      </c>
      <c r="C6" s="113">
        <f>IF(AND(Gate_On="Yes",C$5&lt;mNAV_Floor),0,L_ADV*MAX(0,C$5*BTC_Held*$A6/1000000-Debt_Principal-Pref_Notional_Total+Cash_For_EV)/MSTR_Shares*L_Part*Trading_Days)</f>
        <v/>
      </c>
      <c r="D6" s="113">
        <f>IF(AND(Gate_On="Yes",D$5&lt;mNAV_Floor),0,L_ADV*MAX(0,D$5*BTC_Held*$A6/1000000-Debt_Principal-Pref_Notional_Total+Cash_For_EV)/MSTR_Shares*L_Part*Trading_Days)</f>
        <v/>
      </c>
      <c r="E6" s="113">
        <f>IF(AND(Gate_On="Yes",E$5&lt;mNAV_Floor),0,L_ADV*MAX(0,E$5*BTC_Held*$A6/1000000-Debt_Principal-Pref_Notional_Total+Cash_For_EV)/MSTR_Shares*L_Part*Trading_Days)</f>
        <v/>
      </c>
      <c r="F6" s="113">
        <f>IF(AND(Gate_On="Yes",F$5&lt;mNAV_Floor),0,L_ADV*MAX(0,F$5*BTC_Held*$A6/1000000-Debt_Principal-Pref_Notional_Total+Cash_For_EV)/MSTR_Shares*L_Part*Trading_Days)</f>
        <v/>
      </c>
      <c r="G6" s="113">
        <f>IF(AND(Gate_On="Yes",G$5&lt;mNAV_Floor),0,L_ADV*MAX(0,G$5*BTC_Held*$A6/1000000-Debt_Principal-Pref_Notional_Total+Cash_For_EV)/MSTR_Shares*L_Part*Trading_Days)</f>
        <v/>
      </c>
      <c r="H6" s="113">
        <f>IF(AND(Gate_On="Yes",H$5&lt;mNAV_Floor),0,L_ADV*MAX(0,H$5*BTC_Held*$A6/1000000-Debt_Principal-Pref_Notional_Total+Cash_For_EV)/MSTR_Shares*L_Part*Trading_Days)</f>
        <v/>
      </c>
    </row>
    <row r="7">
      <c r="A7" s="46" t="n">
        <v>40000</v>
      </c>
      <c r="B7" s="113">
        <f>IF(AND(Gate_On="Yes",B$5&lt;mNAV_Floor),0,L_ADV*MAX(0,B$5*BTC_Held*$A7/1000000-Debt_Principal-Pref_Notional_Total+Cash_For_EV)/MSTR_Shares*L_Part*Trading_Days)</f>
        <v/>
      </c>
      <c r="C7" s="113">
        <f>IF(AND(Gate_On="Yes",C$5&lt;mNAV_Floor),0,L_ADV*MAX(0,C$5*BTC_Held*$A7/1000000-Debt_Principal-Pref_Notional_Total+Cash_For_EV)/MSTR_Shares*L_Part*Trading_Days)</f>
        <v/>
      </c>
      <c r="D7" s="113">
        <f>IF(AND(Gate_On="Yes",D$5&lt;mNAV_Floor),0,L_ADV*MAX(0,D$5*BTC_Held*$A7/1000000-Debt_Principal-Pref_Notional_Total+Cash_For_EV)/MSTR_Shares*L_Part*Trading_Days)</f>
        <v/>
      </c>
      <c r="E7" s="113">
        <f>IF(AND(Gate_On="Yes",E$5&lt;mNAV_Floor),0,L_ADV*MAX(0,E$5*BTC_Held*$A7/1000000-Debt_Principal-Pref_Notional_Total+Cash_For_EV)/MSTR_Shares*L_Part*Trading_Days)</f>
        <v/>
      </c>
      <c r="F7" s="113">
        <f>IF(AND(Gate_On="Yes",F$5&lt;mNAV_Floor),0,L_ADV*MAX(0,F$5*BTC_Held*$A7/1000000-Debt_Principal-Pref_Notional_Total+Cash_For_EV)/MSTR_Shares*L_Part*Trading_Days)</f>
        <v/>
      </c>
      <c r="G7" s="113">
        <f>IF(AND(Gate_On="Yes",G$5&lt;mNAV_Floor),0,L_ADV*MAX(0,G$5*BTC_Held*$A7/1000000-Debt_Principal-Pref_Notional_Total+Cash_For_EV)/MSTR_Shares*L_Part*Trading_Days)</f>
        <v/>
      </c>
      <c r="H7" s="113">
        <f>IF(AND(Gate_On="Yes",H$5&lt;mNAV_Floor),0,L_ADV*MAX(0,H$5*BTC_Held*$A7/1000000-Debt_Principal-Pref_Notional_Total+Cash_For_EV)/MSTR_Shares*L_Part*Trading_Days)</f>
        <v/>
      </c>
    </row>
    <row r="8">
      <c r="A8" s="46" t="n">
        <v>50000</v>
      </c>
      <c r="B8" s="113">
        <f>IF(AND(Gate_On="Yes",B$5&lt;mNAV_Floor),0,L_ADV*MAX(0,B$5*BTC_Held*$A8/1000000-Debt_Principal-Pref_Notional_Total+Cash_For_EV)/MSTR_Shares*L_Part*Trading_Days)</f>
        <v/>
      </c>
      <c r="C8" s="113">
        <f>IF(AND(Gate_On="Yes",C$5&lt;mNAV_Floor),0,L_ADV*MAX(0,C$5*BTC_Held*$A8/1000000-Debt_Principal-Pref_Notional_Total+Cash_For_EV)/MSTR_Shares*L_Part*Trading_Days)</f>
        <v/>
      </c>
      <c r="D8" s="113">
        <f>IF(AND(Gate_On="Yes",D$5&lt;mNAV_Floor),0,L_ADV*MAX(0,D$5*BTC_Held*$A8/1000000-Debt_Principal-Pref_Notional_Total+Cash_For_EV)/MSTR_Shares*L_Part*Trading_Days)</f>
        <v/>
      </c>
      <c r="E8" s="113">
        <f>IF(AND(Gate_On="Yes",E$5&lt;mNAV_Floor),0,L_ADV*MAX(0,E$5*BTC_Held*$A8/1000000-Debt_Principal-Pref_Notional_Total+Cash_For_EV)/MSTR_Shares*L_Part*Trading_Days)</f>
        <v/>
      </c>
      <c r="F8" s="113">
        <f>IF(AND(Gate_On="Yes",F$5&lt;mNAV_Floor),0,L_ADV*MAX(0,F$5*BTC_Held*$A8/1000000-Debt_Principal-Pref_Notional_Total+Cash_For_EV)/MSTR_Shares*L_Part*Trading_Days)</f>
        <v/>
      </c>
      <c r="G8" s="113">
        <f>IF(AND(Gate_On="Yes",G$5&lt;mNAV_Floor),0,L_ADV*MAX(0,G$5*BTC_Held*$A8/1000000-Debt_Principal-Pref_Notional_Total+Cash_For_EV)/MSTR_Shares*L_Part*Trading_Days)</f>
        <v/>
      </c>
      <c r="H8" s="113">
        <f>IF(AND(Gate_On="Yes",H$5&lt;mNAV_Floor),0,L_ADV*MAX(0,H$5*BTC_Held*$A8/1000000-Debt_Principal-Pref_Notional_Total+Cash_For_EV)/MSTR_Shares*L_Part*Trading_Days)</f>
        <v/>
      </c>
    </row>
    <row r="9">
      <c r="A9" s="46" t="n">
        <v>60000</v>
      </c>
      <c r="B9" s="113">
        <f>IF(AND(Gate_On="Yes",B$5&lt;mNAV_Floor),0,L_ADV*MAX(0,B$5*BTC_Held*$A9/1000000-Debt_Principal-Pref_Notional_Total+Cash_For_EV)/MSTR_Shares*L_Part*Trading_Days)</f>
        <v/>
      </c>
      <c r="C9" s="113">
        <f>IF(AND(Gate_On="Yes",C$5&lt;mNAV_Floor),0,L_ADV*MAX(0,C$5*BTC_Held*$A9/1000000-Debt_Principal-Pref_Notional_Total+Cash_For_EV)/MSTR_Shares*L_Part*Trading_Days)</f>
        <v/>
      </c>
      <c r="D9" s="113">
        <f>IF(AND(Gate_On="Yes",D$5&lt;mNAV_Floor),0,L_ADV*MAX(0,D$5*BTC_Held*$A9/1000000-Debt_Principal-Pref_Notional_Total+Cash_For_EV)/MSTR_Shares*L_Part*Trading_Days)</f>
        <v/>
      </c>
      <c r="E9" s="113">
        <f>IF(AND(Gate_On="Yes",E$5&lt;mNAV_Floor),0,L_ADV*MAX(0,E$5*BTC_Held*$A9/1000000-Debt_Principal-Pref_Notional_Total+Cash_For_EV)/MSTR_Shares*L_Part*Trading_Days)</f>
        <v/>
      </c>
      <c r="F9" s="113">
        <f>IF(AND(Gate_On="Yes",F$5&lt;mNAV_Floor),0,L_ADV*MAX(0,F$5*BTC_Held*$A9/1000000-Debt_Principal-Pref_Notional_Total+Cash_For_EV)/MSTR_Shares*L_Part*Trading_Days)</f>
        <v/>
      </c>
      <c r="G9" s="113">
        <f>IF(AND(Gate_On="Yes",G$5&lt;mNAV_Floor),0,L_ADV*MAX(0,G$5*BTC_Held*$A9/1000000-Debt_Principal-Pref_Notional_Total+Cash_For_EV)/MSTR_Shares*L_Part*Trading_Days)</f>
        <v/>
      </c>
      <c r="H9" s="113">
        <f>IF(AND(Gate_On="Yes",H$5&lt;mNAV_Floor),0,L_ADV*MAX(0,H$5*BTC_Held*$A9/1000000-Debt_Principal-Pref_Notional_Total+Cash_For_EV)/MSTR_Shares*L_Part*Trading_Days)</f>
        <v/>
      </c>
    </row>
    <row r="10">
      <c r="A10" s="46" t="n">
        <v>75000</v>
      </c>
      <c r="B10" s="113">
        <f>IF(AND(Gate_On="Yes",B$5&lt;mNAV_Floor),0,L_ADV*MAX(0,B$5*BTC_Held*$A10/1000000-Debt_Principal-Pref_Notional_Total+Cash_For_EV)/MSTR_Shares*L_Part*Trading_Days)</f>
        <v/>
      </c>
      <c r="C10" s="113">
        <f>IF(AND(Gate_On="Yes",C$5&lt;mNAV_Floor),0,L_ADV*MAX(0,C$5*BTC_Held*$A10/1000000-Debt_Principal-Pref_Notional_Total+Cash_For_EV)/MSTR_Shares*L_Part*Trading_Days)</f>
        <v/>
      </c>
      <c r="D10" s="113">
        <f>IF(AND(Gate_On="Yes",D$5&lt;mNAV_Floor),0,L_ADV*MAX(0,D$5*BTC_Held*$A10/1000000-Debt_Principal-Pref_Notional_Total+Cash_For_EV)/MSTR_Shares*L_Part*Trading_Days)</f>
        <v/>
      </c>
      <c r="E10" s="113">
        <f>IF(AND(Gate_On="Yes",E$5&lt;mNAV_Floor),0,L_ADV*MAX(0,E$5*BTC_Held*$A10/1000000-Debt_Principal-Pref_Notional_Total+Cash_For_EV)/MSTR_Shares*L_Part*Trading_Days)</f>
        <v/>
      </c>
      <c r="F10" s="113">
        <f>IF(AND(Gate_On="Yes",F$5&lt;mNAV_Floor),0,L_ADV*MAX(0,F$5*BTC_Held*$A10/1000000-Debt_Principal-Pref_Notional_Total+Cash_For_EV)/MSTR_Shares*L_Part*Trading_Days)</f>
        <v/>
      </c>
      <c r="G10" s="113">
        <f>IF(AND(Gate_On="Yes",G$5&lt;mNAV_Floor),0,L_ADV*MAX(0,G$5*BTC_Held*$A10/1000000-Debt_Principal-Pref_Notional_Total+Cash_For_EV)/MSTR_Shares*L_Part*Trading_Days)</f>
        <v/>
      </c>
      <c r="H10" s="113">
        <f>IF(AND(Gate_On="Yes",H$5&lt;mNAV_Floor),0,L_ADV*MAX(0,H$5*BTC_Held*$A10/1000000-Debt_Principal-Pref_Notional_Total+Cash_For_EV)/MSTR_Shares*L_Part*Trading_Days)</f>
        <v/>
      </c>
    </row>
    <row r="11">
      <c r="A11" s="46" t="n">
        <v>100000</v>
      </c>
      <c r="B11" s="113">
        <f>IF(AND(Gate_On="Yes",B$5&lt;mNAV_Floor),0,L_ADV*MAX(0,B$5*BTC_Held*$A11/1000000-Debt_Principal-Pref_Notional_Total+Cash_For_EV)/MSTR_Shares*L_Part*Trading_Days)</f>
        <v/>
      </c>
      <c r="C11" s="113">
        <f>IF(AND(Gate_On="Yes",C$5&lt;mNAV_Floor),0,L_ADV*MAX(0,C$5*BTC_Held*$A11/1000000-Debt_Principal-Pref_Notional_Total+Cash_For_EV)/MSTR_Shares*L_Part*Trading_Days)</f>
        <v/>
      </c>
      <c r="D11" s="113">
        <f>IF(AND(Gate_On="Yes",D$5&lt;mNAV_Floor),0,L_ADV*MAX(0,D$5*BTC_Held*$A11/1000000-Debt_Principal-Pref_Notional_Total+Cash_For_EV)/MSTR_Shares*L_Part*Trading_Days)</f>
        <v/>
      </c>
      <c r="E11" s="113">
        <f>IF(AND(Gate_On="Yes",E$5&lt;mNAV_Floor),0,L_ADV*MAX(0,E$5*BTC_Held*$A11/1000000-Debt_Principal-Pref_Notional_Total+Cash_For_EV)/MSTR_Shares*L_Part*Trading_Days)</f>
        <v/>
      </c>
      <c r="F11" s="113">
        <f>IF(AND(Gate_On="Yes",F$5&lt;mNAV_Floor),0,L_ADV*MAX(0,F$5*BTC_Held*$A11/1000000-Debt_Principal-Pref_Notional_Total+Cash_For_EV)/MSTR_Shares*L_Part*Trading_Days)</f>
        <v/>
      </c>
      <c r="G11" s="113">
        <f>IF(AND(Gate_On="Yes",G$5&lt;mNAV_Floor),0,L_ADV*MAX(0,G$5*BTC_Held*$A11/1000000-Debt_Principal-Pref_Notional_Total+Cash_For_EV)/MSTR_Shares*L_Part*Trading_Days)</f>
        <v/>
      </c>
      <c r="H11" s="113">
        <f>IF(AND(Gate_On="Yes",H$5&lt;mNAV_Floor),0,L_ADV*MAX(0,H$5*BTC_Held*$A11/1000000-Debt_Principal-Pref_Notional_Total+Cash_For_EV)/MSTR_Shares*L_Part*Trading_Days)</f>
        <v/>
      </c>
    </row>
    <row r="12">
      <c r="A12" s="46" t="n">
        <v>125000</v>
      </c>
      <c r="B12" s="113">
        <f>IF(AND(Gate_On="Yes",B$5&lt;mNAV_Floor),0,L_ADV*MAX(0,B$5*BTC_Held*$A12/1000000-Debt_Principal-Pref_Notional_Total+Cash_For_EV)/MSTR_Shares*L_Part*Trading_Days)</f>
        <v/>
      </c>
      <c r="C12" s="113">
        <f>IF(AND(Gate_On="Yes",C$5&lt;mNAV_Floor),0,L_ADV*MAX(0,C$5*BTC_Held*$A12/1000000-Debt_Principal-Pref_Notional_Total+Cash_For_EV)/MSTR_Shares*L_Part*Trading_Days)</f>
        <v/>
      </c>
      <c r="D12" s="113">
        <f>IF(AND(Gate_On="Yes",D$5&lt;mNAV_Floor),0,L_ADV*MAX(0,D$5*BTC_Held*$A12/1000000-Debt_Principal-Pref_Notional_Total+Cash_For_EV)/MSTR_Shares*L_Part*Trading_Days)</f>
        <v/>
      </c>
      <c r="E12" s="113">
        <f>IF(AND(Gate_On="Yes",E$5&lt;mNAV_Floor),0,L_ADV*MAX(0,E$5*BTC_Held*$A12/1000000-Debt_Principal-Pref_Notional_Total+Cash_For_EV)/MSTR_Shares*L_Part*Trading_Days)</f>
        <v/>
      </c>
      <c r="F12" s="113">
        <f>IF(AND(Gate_On="Yes",F$5&lt;mNAV_Floor),0,L_ADV*MAX(0,F$5*BTC_Held*$A12/1000000-Debt_Principal-Pref_Notional_Total+Cash_For_EV)/MSTR_Shares*L_Part*Trading_Days)</f>
        <v/>
      </c>
      <c r="G12" s="113">
        <f>IF(AND(Gate_On="Yes",G$5&lt;mNAV_Floor),0,L_ADV*MAX(0,G$5*BTC_Held*$A12/1000000-Debt_Principal-Pref_Notional_Total+Cash_For_EV)/MSTR_Shares*L_Part*Trading_Days)</f>
        <v/>
      </c>
      <c r="H12" s="113">
        <f>IF(AND(Gate_On="Yes",H$5&lt;mNAV_Floor),0,L_ADV*MAX(0,H$5*BTC_Held*$A12/1000000-Debt_Principal-Pref_Notional_Total+Cash_For_EV)/MSTR_Shares*L_Part*Trading_Days)</f>
        <v/>
      </c>
    </row>
    <row r="13">
      <c r="A13" s="46" t="n">
        <v>150000</v>
      </c>
      <c r="B13" s="113">
        <f>IF(AND(Gate_On="Yes",B$5&lt;mNAV_Floor),0,L_ADV*MAX(0,B$5*BTC_Held*$A13/1000000-Debt_Principal-Pref_Notional_Total+Cash_For_EV)/MSTR_Shares*L_Part*Trading_Days)</f>
        <v/>
      </c>
      <c r="C13" s="113">
        <f>IF(AND(Gate_On="Yes",C$5&lt;mNAV_Floor),0,L_ADV*MAX(0,C$5*BTC_Held*$A13/1000000-Debt_Principal-Pref_Notional_Total+Cash_For_EV)/MSTR_Shares*L_Part*Trading_Days)</f>
        <v/>
      </c>
      <c r="D13" s="113">
        <f>IF(AND(Gate_On="Yes",D$5&lt;mNAV_Floor),0,L_ADV*MAX(0,D$5*BTC_Held*$A13/1000000-Debt_Principal-Pref_Notional_Total+Cash_For_EV)/MSTR_Shares*L_Part*Trading_Days)</f>
        <v/>
      </c>
      <c r="E13" s="113">
        <f>IF(AND(Gate_On="Yes",E$5&lt;mNAV_Floor),0,L_ADV*MAX(0,E$5*BTC_Held*$A13/1000000-Debt_Principal-Pref_Notional_Total+Cash_For_EV)/MSTR_Shares*L_Part*Trading_Days)</f>
        <v/>
      </c>
      <c r="F13" s="113">
        <f>IF(AND(Gate_On="Yes",F$5&lt;mNAV_Floor),0,L_ADV*MAX(0,F$5*BTC_Held*$A13/1000000-Debt_Principal-Pref_Notional_Total+Cash_For_EV)/MSTR_Shares*L_Part*Trading_Days)</f>
        <v/>
      </c>
      <c r="G13" s="113">
        <f>IF(AND(Gate_On="Yes",G$5&lt;mNAV_Floor),0,L_ADV*MAX(0,G$5*BTC_Held*$A13/1000000-Debt_Principal-Pref_Notional_Total+Cash_For_EV)/MSTR_Shares*L_Part*Trading_Days)</f>
        <v/>
      </c>
      <c r="H13" s="113">
        <f>IF(AND(Gate_On="Yes",H$5&lt;mNAV_Floor),0,L_ADV*MAX(0,H$5*BTC_Held*$A13/1000000-Debt_Principal-Pref_Notional_Total+Cash_For_EV)/MSTR_Shares*L_Part*Trading_Days)</f>
        <v/>
      </c>
    </row>
    <row r="14">
      <c r="A14" s="46" t="n">
        <v>200000</v>
      </c>
      <c r="B14" s="113">
        <f>IF(AND(Gate_On="Yes",B$5&lt;mNAV_Floor),0,L_ADV*MAX(0,B$5*BTC_Held*$A14/1000000-Debt_Principal-Pref_Notional_Total+Cash_For_EV)/MSTR_Shares*L_Part*Trading_Days)</f>
        <v/>
      </c>
      <c r="C14" s="113">
        <f>IF(AND(Gate_On="Yes",C$5&lt;mNAV_Floor),0,L_ADV*MAX(0,C$5*BTC_Held*$A14/1000000-Debt_Principal-Pref_Notional_Total+Cash_For_EV)/MSTR_Shares*L_Part*Trading_Days)</f>
        <v/>
      </c>
      <c r="D14" s="113">
        <f>IF(AND(Gate_On="Yes",D$5&lt;mNAV_Floor),0,L_ADV*MAX(0,D$5*BTC_Held*$A14/1000000-Debt_Principal-Pref_Notional_Total+Cash_For_EV)/MSTR_Shares*L_Part*Trading_Days)</f>
        <v/>
      </c>
      <c r="E14" s="113">
        <f>IF(AND(Gate_On="Yes",E$5&lt;mNAV_Floor),0,L_ADV*MAX(0,E$5*BTC_Held*$A14/1000000-Debt_Principal-Pref_Notional_Total+Cash_For_EV)/MSTR_Shares*L_Part*Trading_Days)</f>
        <v/>
      </c>
      <c r="F14" s="113">
        <f>IF(AND(Gate_On="Yes",F$5&lt;mNAV_Floor),0,L_ADV*MAX(0,F$5*BTC_Held*$A14/1000000-Debt_Principal-Pref_Notional_Total+Cash_For_EV)/MSTR_Shares*L_Part*Trading_Days)</f>
        <v/>
      </c>
      <c r="G14" s="113">
        <f>IF(AND(Gate_On="Yes",G$5&lt;mNAV_Floor),0,L_ADV*MAX(0,G$5*BTC_Held*$A14/1000000-Debt_Principal-Pref_Notional_Total+Cash_For_EV)/MSTR_Shares*L_Part*Trading_Days)</f>
        <v/>
      </c>
      <c r="H14" s="113">
        <f>IF(AND(Gate_On="Yes",H$5&lt;mNAV_Floor),0,L_ADV*MAX(0,H$5*BTC_Held*$A14/1000000-Debt_Principal-Pref_Notional_Total+Cash_For_EV)/MSTR_Shares*L_Part*Trading_Days)</f>
        <v/>
      </c>
    </row>
    <row r="15">
      <c r="A15" s="114">
        <f>BTC_Spot</f>
        <v/>
      </c>
      <c r="B15" s="115">
        <f>IF(AND(Gate_On="Yes",B$5&lt;mNAV_Floor),0,L_ADV*MAX(0,B$5*BTC_Held*$A15/1000000-Debt_Principal-Pref_Notional_Total+Cash_For_EV)/MSTR_Shares*L_Part*Trading_Days)</f>
        <v/>
      </c>
      <c r="C15" s="115">
        <f>IF(AND(Gate_On="Yes",C$5&lt;mNAV_Floor),0,L_ADV*MAX(0,C$5*BTC_Held*$A15/1000000-Debt_Principal-Pref_Notional_Total+Cash_For_EV)/MSTR_Shares*L_Part*Trading_Days)</f>
        <v/>
      </c>
      <c r="D15" s="115">
        <f>IF(AND(Gate_On="Yes",D$5&lt;mNAV_Floor),0,L_ADV*MAX(0,D$5*BTC_Held*$A15/1000000-Debt_Principal-Pref_Notional_Total+Cash_For_EV)/MSTR_Shares*L_Part*Trading_Days)</f>
        <v/>
      </c>
      <c r="E15" s="115">
        <f>IF(AND(Gate_On="Yes",E$5&lt;mNAV_Floor),0,L_ADV*MAX(0,E$5*BTC_Held*$A15/1000000-Debt_Principal-Pref_Notional_Total+Cash_For_EV)/MSTR_Shares*L_Part*Trading_Days)</f>
        <v/>
      </c>
      <c r="F15" s="115">
        <f>IF(AND(Gate_On="Yes",F$5&lt;mNAV_Floor),0,L_ADV*MAX(0,F$5*BTC_Held*$A15/1000000-Debt_Principal-Pref_Notional_Total+Cash_For_EV)/MSTR_Shares*L_Part*Trading_Days)</f>
        <v/>
      </c>
      <c r="G15" s="115">
        <f>IF(AND(Gate_On="Yes",G$5&lt;mNAV_Floor),0,L_ADV*MAX(0,G$5*BTC_Held*$A15/1000000-Debt_Principal-Pref_Notional_Total+Cash_For_EV)/MSTR_Shares*L_Part*Trading_Days)</f>
        <v/>
      </c>
      <c r="H15" s="115">
        <f>IF(AND(Gate_On="Yes",H$5&lt;mNAV_Floor),0,L_ADV*MAX(0,H$5*BTC_Held*$A15/1000000-Debt_Principal-Pref_Notional_Total+Cash_For_EV)/MSTR_Shares*L_Part*Trading_Days)</f>
        <v/>
      </c>
    </row>
    <row r="16">
      <c r="A16" s="26" t="inlineStr">
        <is>
          <t>Zero left of the mNAV floor (the gate). The orange last row is the Base BTC price.</t>
        </is>
      </c>
    </row>
    <row r="18">
      <c r="A18" s="40" t="inlineStr">
        <is>
          <t>Grid 2. Years of all fixed charges covered by Reserve + common sales</t>
        </is>
      </c>
      <c r="B18" s="41" t="n"/>
      <c r="C18" s="41" t="n"/>
      <c r="D18" s="41" t="n"/>
      <c r="E18" s="41" t="n"/>
      <c r="F18" s="41" t="n"/>
      <c r="G18" s="41" t="n"/>
      <c r="H18" s="41" t="n"/>
    </row>
    <row r="19">
      <c r="A19" s="2" t="inlineStr">
        <is>
          <t>BTC price ↓   mNAV →</t>
        </is>
      </c>
      <c r="B19" s="112" t="n">
        <v>0.6</v>
      </c>
      <c r="C19" s="112" t="n">
        <v>0.8</v>
      </c>
      <c r="D19" s="112" t="n">
        <v>1</v>
      </c>
      <c r="E19" s="112" t="n">
        <v>1.25</v>
      </c>
      <c r="F19" s="112" t="n">
        <v>1.5</v>
      </c>
      <c r="G19" s="112" t="n">
        <v>2</v>
      </c>
      <c r="H19" s="112" t="n">
        <v>2.5</v>
      </c>
    </row>
    <row r="20">
      <c r="A20" s="46" t="n">
        <v>30000</v>
      </c>
      <c r="B20" s="116">
        <f>MIN(Display_Cap,IF(AND(B6&lt;Charges_Total,B6*Reserve_Live/(Charges_Total-B6)&lt;=ATM_Cap),Reserve_Live/(Charges_Total-B6),(Reserve_Live+ATM_Cap)/Charges_Total))</f>
        <v/>
      </c>
      <c r="C20" s="116">
        <f>MIN(Display_Cap,IF(AND(C6&lt;Charges_Total,C6*Reserve_Live/(Charges_Total-C6)&lt;=ATM_Cap),Reserve_Live/(Charges_Total-C6),(Reserve_Live+ATM_Cap)/Charges_Total))</f>
        <v/>
      </c>
      <c r="D20" s="116">
        <f>MIN(Display_Cap,IF(AND(D6&lt;Charges_Total,D6*Reserve_Live/(Charges_Total-D6)&lt;=ATM_Cap),Reserve_Live/(Charges_Total-D6),(Reserve_Live+ATM_Cap)/Charges_Total))</f>
        <v/>
      </c>
      <c r="E20" s="116">
        <f>MIN(Display_Cap,IF(AND(E6&lt;Charges_Total,E6*Reserve_Live/(Charges_Total-E6)&lt;=ATM_Cap),Reserve_Live/(Charges_Total-E6),(Reserve_Live+ATM_Cap)/Charges_Total))</f>
        <v/>
      </c>
      <c r="F20" s="116">
        <f>MIN(Display_Cap,IF(AND(F6&lt;Charges_Total,F6*Reserve_Live/(Charges_Total-F6)&lt;=ATM_Cap),Reserve_Live/(Charges_Total-F6),(Reserve_Live+ATM_Cap)/Charges_Total))</f>
        <v/>
      </c>
      <c r="G20" s="116">
        <f>MIN(Display_Cap,IF(AND(G6&lt;Charges_Total,G6*Reserve_Live/(Charges_Total-G6)&lt;=ATM_Cap),Reserve_Live/(Charges_Total-G6),(Reserve_Live+ATM_Cap)/Charges_Total))</f>
        <v/>
      </c>
      <c r="H20" s="116">
        <f>MIN(Display_Cap,IF(AND(H6&lt;Charges_Total,H6*Reserve_Live/(Charges_Total-H6)&lt;=ATM_Cap),Reserve_Live/(Charges_Total-H6),(Reserve_Live+ATM_Cap)/Charges_Total))</f>
        <v/>
      </c>
    </row>
    <row r="21">
      <c r="A21" s="46" t="n">
        <v>40000</v>
      </c>
      <c r="B21" s="116">
        <f>MIN(Display_Cap,IF(AND(B7&lt;Charges_Total,B7*Reserve_Live/(Charges_Total-B7)&lt;=ATM_Cap),Reserve_Live/(Charges_Total-B7),(Reserve_Live+ATM_Cap)/Charges_Total))</f>
        <v/>
      </c>
      <c r="C21" s="116">
        <f>MIN(Display_Cap,IF(AND(C7&lt;Charges_Total,C7*Reserve_Live/(Charges_Total-C7)&lt;=ATM_Cap),Reserve_Live/(Charges_Total-C7),(Reserve_Live+ATM_Cap)/Charges_Total))</f>
        <v/>
      </c>
      <c r="D21" s="116">
        <f>MIN(Display_Cap,IF(AND(D7&lt;Charges_Total,D7*Reserve_Live/(Charges_Total-D7)&lt;=ATM_Cap),Reserve_Live/(Charges_Total-D7),(Reserve_Live+ATM_Cap)/Charges_Total))</f>
        <v/>
      </c>
      <c r="E21" s="116">
        <f>MIN(Display_Cap,IF(AND(E7&lt;Charges_Total,E7*Reserve_Live/(Charges_Total-E7)&lt;=ATM_Cap),Reserve_Live/(Charges_Total-E7),(Reserve_Live+ATM_Cap)/Charges_Total))</f>
        <v/>
      </c>
      <c r="F21" s="116">
        <f>MIN(Display_Cap,IF(AND(F7&lt;Charges_Total,F7*Reserve_Live/(Charges_Total-F7)&lt;=ATM_Cap),Reserve_Live/(Charges_Total-F7),(Reserve_Live+ATM_Cap)/Charges_Total))</f>
        <v/>
      </c>
      <c r="G21" s="116">
        <f>MIN(Display_Cap,IF(AND(G7&lt;Charges_Total,G7*Reserve_Live/(Charges_Total-G7)&lt;=ATM_Cap),Reserve_Live/(Charges_Total-G7),(Reserve_Live+ATM_Cap)/Charges_Total))</f>
        <v/>
      </c>
      <c r="H21" s="116">
        <f>MIN(Display_Cap,IF(AND(H7&lt;Charges_Total,H7*Reserve_Live/(Charges_Total-H7)&lt;=ATM_Cap),Reserve_Live/(Charges_Total-H7),(Reserve_Live+ATM_Cap)/Charges_Total))</f>
        <v/>
      </c>
    </row>
    <row r="22">
      <c r="A22" s="46" t="n">
        <v>50000</v>
      </c>
      <c r="B22" s="116">
        <f>MIN(Display_Cap,IF(AND(B8&lt;Charges_Total,B8*Reserve_Live/(Charges_Total-B8)&lt;=ATM_Cap),Reserve_Live/(Charges_Total-B8),(Reserve_Live+ATM_Cap)/Charges_Total))</f>
        <v/>
      </c>
      <c r="C22" s="116">
        <f>MIN(Display_Cap,IF(AND(C8&lt;Charges_Total,C8*Reserve_Live/(Charges_Total-C8)&lt;=ATM_Cap),Reserve_Live/(Charges_Total-C8),(Reserve_Live+ATM_Cap)/Charges_Total))</f>
        <v/>
      </c>
      <c r="D22" s="116">
        <f>MIN(Display_Cap,IF(AND(D8&lt;Charges_Total,D8*Reserve_Live/(Charges_Total-D8)&lt;=ATM_Cap),Reserve_Live/(Charges_Total-D8),(Reserve_Live+ATM_Cap)/Charges_Total))</f>
        <v/>
      </c>
      <c r="E22" s="116">
        <f>MIN(Display_Cap,IF(AND(E8&lt;Charges_Total,E8*Reserve_Live/(Charges_Total-E8)&lt;=ATM_Cap),Reserve_Live/(Charges_Total-E8),(Reserve_Live+ATM_Cap)/Charges_Total))</f>
        <v/>
      </c>
      <c r="F22" s="116">
        <f>MIN(Display_Cap,IF(AND(F8&lt;Charges_Total,F8*Reserve_Live/(Charges_Total-F8)&lt;=ATM_Cap),Reserve_Live/(Charges_Total-F8),(Reserve_Live+ATM_Cap)/Charges_Total))</f>
        <v/>
      </c>
      <c r="G22" s="116">
        <f>MIN(Display_Cap,IF(AND(G8&lt;Charges_Total,G8*Reserve_Live/(Charges_Total-G8)&lt;=ATM_Cap),Reserve_Live/(Charges_Total-G8),(Reserve_Live+ATM_Cap)/Charges_Total))</f>
        <v/>
      </c>
      <c r="H22" s="116">
        <f>MIN(Display_Cap,IF(AND(H8&lt;Charges_Total,H8*Reserve_Live/(Charges_Total-H8)&lt;=ATM_Cap),Reserve_Live/(Charges_Total-H8),(Reserve_Live+ATM_Cap)/Charges_Total))</f>
        <v/>
      </c>
    </row>
    <row r="23">
      <c r="A23" s="46" t="n">
        <v>60000</v>
      </c>
      <c r="B23" s="116">
        <f>MIN(Display_Cap,IF(AND(B9&lt;Charges_Total,B9*Reserve_Live/(Charges_Total-B9)&lt;=ATM_Cap),Reserve_Live/(Charges_Total-B9),(Reserve_Live+ATM_Cap)/Charges_Total))</f>
        <v/>
      </c>
      <c r="C23" s="116">
        <f>MIN(Display_Cap,IF(AND(C9&lt;Charges_Total,C9*Reserve_Live/(Charges_Total-C9)&lt;=ATM_Cap),Reserve_Live/(Charges_Total-C9),(Reserve_Live+ATM_Cap)/Charges_Total))</f>
        <v/>
      </c>
      <c r="D23" s="116">
        <f>MIN(Display_Cap,IF(AND(D9&lt;Charges_Total,D9*Reserve_Live/(Charges_Total-D9)&lt;=ATM_Cap),Reserve_Live/(Charges_Total-D9),(Reserve_Live+ATM_Cap)/Charges_Total))</f>
        <v/>
      </c>
      <c r="E23" s="116">
        <f>MIN(Display_Cap,IF(AND(E9&lt;Charges_Total,E9*Reserve_Live/(Charges_Total-E9)&lt;=ATM_Cap),Reserve_Live/(Charges_Total-E9),(Reserve_Live+ATM_Cap)/Charges_Total))</f>
        <v/>
      </c>
      <c r="F23" s="116">
        <f>MIN(Display_Cap,IF(AND(F9&lt;Charges_Total,F9*Reserve_Live/(Charges_Total-F9)&lt;=ATM_Cap),Reserve_Live/(Charges_Total-F9),(Reserve_Live+ATM_Cap)/Charges_Total))</f>
        <v/>
      </c>
      <c r="G23" s="116">
        <f>MIN(Display_Cap,IF(AND(G9&lt;Charges_Total,G9*Reserve_Live/(Charges_Total-G9)&lt;=ATM_Cap),Reserve_Live/(Charges_Total-G9),(Reserve_Live+ATM_Cap)/Charges_Total))</f>
        <v/>
      </c>
      <c r="H23" s="116">
        <f>MIN(Display_Cap,IF(AND(H9&lt;Charges_Total,H9*Reserve_Live/(Charges_Total-H9)&lt;=ATM_Cap),Reserve_Live/(Charges_Total-H9),(Reserve_Live+ATM_Cap)/Charges_Total))</f>
        <v/>
      </c>
    </row>
    <row r="24">
      <c r="A24" s="46" t="n">
        <v>75000</v>
      </c>
      <c r="B24" s="116">
        <f>MIN(Display_Cap,IF(AND(B10&lt;Charges_Total,B10*Reserve_Live/(Charges_Total-B10)&lt;=ATM_Cap),Reserve_Live/(Charges_Total-B10),(Reserve_Live+ATM_Cap)/Charges_Total))</f>
        <v/>
      </c>
      <c r="C24" s="116">
        <f>MIN(Display_Cap,IF(AND(C10&lt;Charges_Total,C10*Reserve_Live/(Charges_Total-C10)&lt;=ATM_Cap),Reserve_Live/(Charges_Total-C10),(Reserve_Live+ATM_Cap)/Charges_Total))</f>
        <v/>
      </c>
      <c r="D24" s="116">
        <f>MIN(Display_Cap,IF(AND(D10&lt;Charges_Total,D10*Reserve_Live/(Charges_Total-D10)&lt;=ATM_Cap),Reserve_Live/(Charges_Total-D10),(Reserve_Live+ATM_Cap)/Charges_Total))</f>
        <v/>
      </c>
      <c r="E24" s="116">
        <f>MIN(Display_Cap,IF(AND(E10&lt;Charges_Total,E10*Reserve_Live/(Charges_Total-E10)&lt;=ATM_Cap),Reserve_Live/(Charges_Total-E10),(Reserve_Live+ATM_Cap)/Charges_Total))</f>
        <v/>
      </c>
      <c r="F24" s="116">
        <f>MIN(Display_Cap,IF(AND(F10&lt;Charges_Total,F10*Reserve_Live/(Charges_Total-F10)&lt;=ATM_Cap),Reserve_Live/(Charges_Total-F10),(Reserve_Live+ATM_Cap)/Charges_Total))</f>
        <v/>
      </c>
      <c r="G24" s="116">
        <f>MIN(Display_Cap,IF(AND(G10&lt;Charges_Total,G10*Reserve_Live/(Charges_Total-G10)&lt;=ATM_Cap),Reserve_Live/(Charges_Total-G10),(Reserve_Live+ATM_Cap)/Charges_Total))</f>
        <v/>
      </c>
      <c r="H24" s="116">
        <f>MIN(Display_Cap,IF(AND(H10&lt;Charges_Total,H10*Reserve_Live/(Charges_Total-H10)&lt;=ATM_Cap),Reserve_Live/(Charges_Total-H10),(Reserve_Live+ATM_Cap)/Charges_Total))</f>
        <v/>
      </c>
    </row>
    <row r="25">
      <c r="A25" s="46" t="n">
        <v>100000</v>
      </c>
      <c r="B25" s="116">
        <f>MIN(Display_Cap,IF(AND(B11&lt;Charges_Total,B11*Reserve_Live/(Charges_Total-B11)&lt;=ATM_Cap),Reserve_Live/(Charges_Total-B11),(Reserve_Live+ATM_Cap)/Charges_Total))</f>
        <v/>
      </c>
      <c r="C25" s="116">
        <f>MIN(Display_Cap,IF(AND(C11&lt;Charges_Total,C11*Reserve_Live/(Charges_Total-C11)&lt;=ATM_Cap),Reserve_Live/(Charges_Total-C11),(Reserve_Live+ATM_Cap)/Charges_Total))</f>
        <v/>
      </c>
      <c r="D25" s="116">
        <f>MIN(Display_Cap,IF(AND(D11&lt;Charges_Total,D11*Reserve_Live/(Charges_Total-D11)&lt;=ATM_Cap),Reserve_Live/(Charges_Total-D11),(Reserve_Live+ATM_Cap)/Charges_Total))</f>
        <v/>
      </c>
      <c r="E25" s="116">
        <f>MIN(Display_Cap,IF(AND(E11&lt;Charges_Total,E11*Reserve_Live/(Charges_Total-E11)&lt;=ATM_Cap),Reserve_Live/(Charges_Total-E11),(Reserve_Live+ATM_Cap)/Charges_Total))</f>
        <v/>
      </c>
      <c r="F25" s="116">
        <f>MIN(Display_Cap,IF(AND(F11&lt;Charges_Total,F11*Reserve_Live/(Charges_Total-F11)&lt;=ATM_Cap),Reserve_Live/(Charges_Total-F11),(Reserve_Live+ATM_Cap)/Charges_Total))</f>
        <v/>
      </c>
      <c r="G25" s="116">
        <f>MIN(Display_Cap,IF(AND(G11&lt;Charges_Total,G11*Reserve_Live/(Charges_Total-G11)&lt;=ATM_Cap),Reserve_Live/(Charges_Total-G11),(Reserve_Live+ATM_Cap)/Charges_Total))</f>
        <v/>
      </c>
      <c r="H25" s="116">
        <f>MIN(Display_Cap,IF(AND(H11&lt;Charges_Total,H11*Reserve_Live/(Charges_Total-H11)&lt;=ATM_Cap),Reserve_Live/(Charges_Total-H11),(Reserve_Live+ATM_Cap)/Charges_Total))</f>
        <v/>
      </c>
    </row>
    <row r="26">
      <c r="A26" s="46" t="n">
        <v>125000</v>
      </c>
      <c r="B26" s="116">
        <f>MIN(Display_Cap,IF(AND(B12&lt;Charges_Total,B12*Reserve_Live/(Charges_Total-B12)&lt;=ATM_Cap),Reserve_Live/(Charges_Total-B12),(Reserve_Live+ATM_Cap)/Charges_Total))</f>
        <v/>
      </c>
      <c r="C26" s="116">
        <f>MIN(Display_Cap,IF(AND(C12&lt;Charges_Total,C12*Reserve_Live/(Charges_Total-C12)&lt;=ATM_Cap),Reserve_Live/(Charges_Total-C12),(Reserve_Live+ATM_Cap)/Charges_Total))</f>
        <v/>
      </c>
      <c r="D26" s="116">
        <f>MIN(Display_Cap,IF(AND(D12&lt;Charges_Total,D12*Reserve_Live/(Charges_Total-D12)&lt;=ATM_Cap),Reserve_Live/(Charges_Total-D12),(Reserve_Live+ATM_Cap)/Charges_Total))</f>
        <v/>
      </c>
      <c r="E26" s="116">
        <f>MIN(Display_Cap,IF(AND(E12&lt;Charges_Total,E12*Reserve_Live/(Charges_Total-E12)&lt;=ATM_Cap),Reserve_Live/(Charges_Total-E12),(Reserve_Live+ATM_Cap)/Charges_Total))</f>
        <v/>
      </c>
      <c r="F26" s="116">
        <f>MIN(Display_Cap,IF(AND(F12&lt;Charges_Total,F12*Reserve_Live/(Charges_Total-F12)&lt;=ATM_Cap),Reserve_Live/(Charges_Total-F12),(Reserve_Live+ATM_Cap)/Charges_Total))</f>
        <v/>
      </c>
      <c r="G26" s="116">
        <f>MIN(Display_Cap,IF(AND(G12&lt;Charges_Total,G12*Reserve_Live/(Charges_Total-G12)&lt;=ATM_Cap),Reserve_Live/(Charges_Total-G12),(Reserve_Live+ATM_Cap)/Charges_Total))</f>
        <v/>
      </c>
      <c r="H26" s="116">
        <f>MIN(Display_Cap,IF(AND(H12&lt;Charges_Total,H12*Reserve_Live/(Charges_Total-H12)&lt;=ATM_Cap),Reserve_Live/(Charges_Total-H12),(Reserve_Live+ATM_Cap)/Charges_Total))</f>
        <v/>
      </c>
    </row>
    <row r="27">
      <c r="A27" s="46" t="n">
        <v>150000</v>
      </c>
      <c r="B27" s="116">
        <f>MIN(Display_Cap,IF(AND(B13&lt;Charges_Total,B13*Reserve_Live/(Charges_Total-B13)&lt;=ATM_Cap),Reserve_Live/(Charges_Total-B13),(Reserve_Live+ATM_Cap)/Charges_Total))</f>
        <v/>
      </c>
      <c r="C27" s="116">
        <f>MIN(Display_Cap,IF(AND(C13&lt;Charges_Total,C13*Reserve_Live/(Charges_Total-C13)&lt;=ATM_Cap),Reserve_Live/(Charges_Total-C13),(Reserve_Live+ATM_Cap)/Charges_Total))</f>
        <v/>
      </c>
      <c r="D27" s="116">
        <f>MIN(Display_Cap,IF(AND(D13&lt;Charges_Total,D13*Reserve_Live/(Charges_Total-D13)&lt;=ATM_Cap),Reserve_Live/(Charges_Total-D13),(Reserve_Live+ATM_Cap)/Charges_Total))</f>
        <v/>
      </c>
      <c r="E27" s="116">
        <f>MIN(Display_Cap,IF(AND(E13&lt;Charges_Total,E13*Reserve_Live/(Charges_Total-E13)&lt;=ATM_Cap),Reserve_Live/(Charges_Total-E13),(Reserve_Live+ATM_Cap)/Charges_Total))</f>
        <v/>
      </c>
      <c r="F27" s="116">
        <f>MIN(Display_Cap,IF(AND(F13&lt;Charges_Total,F13*Reserve_Live/(Charges_Total-F13)&lt;=ATM_Cap),Reserve_Live/(Charges_Total-F13),(Reserve_Live+ATM_Cap)/Charges_Total))</f>
        <v/>
      </c>
      <c r="G27" s="116">
        <f>MIN(Display_Cap,IF(AND(G13&lt;Charges_Total,G13*Reserve_Live/(Charges_Total-G13)&lt;=ATM_Cap),Reserve_Live/(Charges_Total-G13),(Reserve_Live+ATM_Cap)/Charges_Total))</f>
        <v/>
      </c>
      <c r="H27" s="116">
        <f>MIN(Display_Cap,IF(AND(H13&lt;Charges_Total,H13*Reserve_Live/(Charges_Total-H13)&lt;=ATM_Cap),Reserve_Live/(Charges_Total-H13),(Reserve_Live+ATM_Cap)/Charges_Total))</f>
        <v/>
      </c>
    </row>
    <row r="28">
      <c r="A28" s="46" t="n">
        <v>200000</v>
      </c>
      <c r="B28" s="116">
        <f>MIN(Display_Cap,IF(AND(B14&lt;Charges_Total,B14*Reserve_Live/(Charges_Total-B14)&lt;=ATM_Cap),Reserve_Live/(Charges_Total-B14),(Reserve_Live+ATM_Cap)/Charges_Total))</f>
        <v/>
      </c>
      <c r="C28" s="116">
        <f>MIN(Display_Cap,IF(AND(C14&lt;Charges_Total,C14*Reserve_Live/(Charges_Total-C14)&lt;=ATM_Cap),Reserve_Live/(Charges_Total-C14),(Reserve_Live+ATM_Cap)/Charges_Total))</f>
        <v/>
      </c>
      <c r="D28" s="116">
        <f>MIN(Display_Cap,IF(AND(D14&lt;Charges_Total,D14*Reserve_Live/(Charges_Total-D14)&lt;=ATM_Cap),Reserve_Live/(Charges_Total-D14),(Reserve_Live+ATM_Cap)/Charges_Total))</f>
        <v/>
      </c>
      <c r="E28" s="116">
        <f>MIN(Display_Cap,IF(AND(E14&lt;Charges_Total,E14*Reserve_Live/(Charges_Total-E14)&lt;=ATM_Cap),Reserve_Live/(Charges_Total-E14),(Reserve_Live+ATM_Cap)/Charges_Total))</f>
        <v/>
      </c>
      <c r="F28" s="116">
        <f>MIN(Display_Cap,IF(AND(F14&lt;Charges_Total,F14*Reserve_Live/(Charges_Total-F14)&lt;=ATM_Cap),Reserve_Live/(Charges_Total-F14),(Reserve_Live+ATM_Cap)/Charges_Total))</f>
        <v/>
      </c>
      <c r="G28" s="116">
        <f>MIN(Display_Cap,IF(AND(G14&lt;Charges_Total,G14*Reserve_Live/(Charges_Total-G14)&lt;=ATM_Cap),Reserve_Live/(Charges_Total-G14),(Reserve_Live+ATM_Cap)/Charges_Total))</f>
        <v/>
      </c>
      <c r="H28" s="116">
        <f>MIN(Display_Cap,IF(AND(H14&lt;Charges_Total,H14*Reserve_Live/(Charges_Total-H14)&lt;=ATM_Cap),Reserve_Live/(Charges_Total-H14),(Reserve_Live+ATM_Cap)/Charges_Total))</f>
        <v/>
      </c>
    </row>
    <row r="29">
      <c r="A29" s="114">
        <f>BTC_Spot</f>
        <v/>
      </c>
      <c r="B29" s="117">
        <f>MIN(Display_Cap,IF(AND(B15&lt;Charges_Total,B15*Reserve_Live/(Charges_Total-B15)&lt;=ATM_Cap),Reserve_Live/(Charges_Total-B15),(Reserve_Live+ATM_Cap)/Charges_Total))</f>
        <v/>
      </c>
      <c r="C29" s="117">
        <f>MIN(Display_Cap,IF(AND(C15&lt;Charges_Total,C15*Reserve_Live/(Charges_Total-C15)&lt;=ATM_Cap),Reserve_Live/(Charges_Total-C15),(Reserve_Live+ATM_Cap)/Charges_Total))</f>
        <v/>
      </c>
      <c r="D29" s="117">
        <f>MIN(Display_Cap,IF(AND(D15&lt;Charges_Total,D15*Reserve_Live/(Charges_Total-D15)&lt;=ATM_Cap),Reserve_Live/(Charges_Total-D15),(Reserve_Live+ATM_Cap)/Charges_Total))</f>
        <v/>
      </c>
      <c r="E29" s="117">
        <f>MIN(Display_Cap,IF(AND(E15&lt;Charges_Total,E15*Reserve_Live/(Charges_Total-E15)&lt;=ATM_Cap),Reserve_Live/(Charges_Total-E15),(Reserve_Live+ATM_Cap)/Charges_Total))</f>
        <v/>
      </c>
      <c r="F29" s="117">
        <f>MIN(Display_Cap,IF(AND(F15&lt;Charges_Total,F15*Reserve_Live/(Charges_Total-F15)&lt;=ATM_Cap),Reserve_Live/(Charges_Total-F15),(Reserve_Live+ATM_Cap)/Charges_Total))</f>
        <v/>
      </c>
      <c r="G29" s="117">
        <f>MIN(Display_Cap,IF(AND(G15&lt;Charges_Total,G15*Reserve_Live/(Charges_Total-G15)&lt;=ATM_Cap),Reserve_Live/(Charges_Total-G15),(Reserve_Live+ATM_Cap)/Charges_Total))</f>
        <v/>
      </c>
      <c r="H29" s="117">
        <f>MIN(Display_Cap,IF(AND(H15&lt;Charges_Total,H15*Reserve_Live/(Charges_Total-H15)&lt;=ATM_Cap),Reserve_Live/(Charges_Total-H15),(Reserve_Live+ATM_Cap)/Charges_Total))</f>
        <v/>
      </c>
    </row>
    <row r="30">
      <c r="A30" s="26" t="inlineStr">
        <is>
          <t>Red: under 1 year. Amber: under Target_Years. With the ATM cap on, coverage above the floor is (Reserve + ATM) / charges.</t>
        </is>
      </c>
    </row>
    <row r="32">
      <c r="A32" s="40" t="inlineStr">
        <is>
          <t>Grid 3. MSTR dilution to fund one year of charges (% of shares)</t>
        </is>
      </c>
      <c r="B32" s="41" t="n"/>
      <c r="C32" s="41" t="n"/>
      <c r="D32" s="41" t="n"/>
      <c r="E32" s="41" t="n"/>
      <c r="F32" s="41" t="n"/>
      <c r="G32" s="41" t="n"/>
      <c r="H32" s="41" t="n"/>
    </row>
    <row r="33">
      <c r="A33" s="2" t="inlineStr">
        <is>
          <t>BTC price ↓   mNAV →</t>
        </is>
      </c>
      <c r="B33" s="112" t="n">
        <v>0.6</v>
      </c>
      <c r="C33" s="112" t="n">
        <v>0.8</v>
      </c>
      <c r="D33" s="112" t="n">
        <v>1</v>
      </c>
      <c r="E33" s="112" t="n">
        <v>1.25</v>
      </c>
      <c r="F33" s="112" t="n">
        <v>1.5</v>
      </c>
      <c r="G33" s="112" t="n">
        <v>2</v>
      </c>
      <c r="H33" s="112" t="n">
        <v>2.5</v>
      </c>
    </row>
    <row r="34">
      <c r="A34" s="46" t="n">
        <v>30000</v>
      </c>
      <c r="B34" s="118">
        <f>IF(AND(Gate_On="Yes",B$33&lt;mNAV_Floor),"gate",IF(MAX(0,B$33*BTC_Held*$A34/1000000-Debt_Principal-Pref_Notional_Total+Cash_For_EV)=0,"wiped out",Charges_Total/MAX(0,B$33*BTC_Held*$A34/1000000-Debt_Principal-Pref_Notional_Total+Cash_For_EV)))</f>
        <v/>
      </c>
      <c r="C34" s="118">
        <f>IF(AND(Gate_On="Yes",C$33&lt;mNAV_Floor),"gate",IF(MAX(0,C$33*BTC_Held*$A34/1000000-Debt_Principal-Pref_Notional_Total+Cash_For_EV)=0,"wiped out",Charges_Total/MAX(0,C$33*BTC_Held*$A34/1000000-Debt_Principal-Pref_Notional_Total+Cash_For_EV)))</f>
        <v/>
      </c>
      <c r="D34" s="118">
        <f>IF(AND(Gate_On="Yes",D$33&lt;mNAV_Floor),"gate",IF(MAX(0,D$33*BTC_Held*$A34/1000000-Debt_Principal-Pref_Notional_Total+Cash_For_EV)=0,"wiped out",Charges_Total/MAX(0,D$33*BTC_Held*$A34/1000000-Debt_Principal-Pref_Notional_Total+Cash_For_EV)))</f>
        <v/>
      </c>
      <c r="E34" s="118">
        <f>IF(AND(Gate_On="Yes",E$33&lt;mNAV_Floor),"gate",IF(MAX(0,E$33*BTC_Held*$A34/1000000-Debt_Principal-Pref_Notional_Total+Cash_For_EV)=0,"wiped out",Charges_Total/MAX(0,E$33*BTC_Held*$A34/1000000-Debt_Principal-Pref_Notional_Total+Cash_For_EV)))</f>
        <v/>
      </c>
      <c r="F34" s="118">
        <f>IF(AND(Gate_On="Yes",F$33&lt;mNAV_Floor),"gate",IF(MAX(0,F$33*BTC_Held*$A34/1000000-Debt_Principal-Pref_Notional_Total+Cash_For_EV)=0,"wiped out",Charges_Total/MAX(0,F$33*BTC_Held*$A34/1000000-Debt_Principal-Pref_Notional_Total+Cash_For_EV)))</f>
        <v/>
      </c>
      <c r="G34" s="118">
        <f>IF(AND(Gate_On="Yes",G$33&lt;mNAV_Floor),"gate",IF(MAX(0,G$33*BTC_Held*$A34/1000000-Debt_Principal-Pref_Notional_Total+Cash_For_EV)=0,"wiped out",Charges_Total/MAX(0,G$33*BTC_Held*$A34/1000000-Debt_Principal-Pref_Notional_Total+Cash_For_EV)))</f>
        <v/>
      </c>
      <c r="H34" s="118">
        <f>IF(AND(Gate_On="Yes",H$33&lt;mNAV_Floor),"gate",IF(MAX(0,H$33*BTC_Held*$A34/1000000-Debt_Principal-Pref_Notional_Total+Cash_For_EV)=0,"wiped out",Charges_Total/MAX(0,H$33*BTC_Held*$A34/1000000-Debt_Principal-Pref_Notional_Total+Cash_For_EV)))</f>
        <v/>
      </c>
    </row>
    <row r="35">
      <c r="A35" s="46" t="n">
        <v>40000</v>
      </c>
      <c r="B35" s="118">
        <f>IF(AND(Gate_On="Yes",B$33&lt;mNAV_Floor),"gate",IF(MAX(0,B$33*BTC_Held*$A35/1000000-Debt_Principal-Pref_Notional_Total+Cash_For_EV)=0,"wiped out",Charges_Total/MAX(0,B$33*BTC_Held*$A35/1000000-Debt_Principal-Pref_Notional_Total+Cash_For_EV)))</f>
        <v/>
      </c>
      <c r="C35" s="118">
        <f>IF(AND(Gate_On="Yes",C$33&lt;mNAV_Floor),"gate",IF(MAX(0,C$33*BTC_Held*$A35/1000000-Debt_Principal-Pref_Notional_Total+Cash_For_EV)=0,"wiped out",Charges_Total/MAX(0,C$33*BTC_Held*$A35/1000000-Debt_Principal-Pref_Notional_Total+Cash_For_EV)))</f>
        <v/>
      </c>
      <c r="D35" s="118">
        <f>IF(AND(Gate_On="Yes",D$33&lt;mNAV_Floor),"gate",IF(MAX(0,D$33*BTC_Held*$A35/1000000-Debt_Principal-Pref_Notional_Total+Cash_For_EV)=0,"wiped out",Charges_Total/MAX(0,D$33*BTC_Held*$A35/1000000-Debt_Principal-Pref_Notional_Total+Cash_For_EV)))</f>
        <v/>
      </c>
      <c r="E35" s="118">
        <f>IF(AND(Gate_On="Yes",E$33&lt;mNAV_Floor),"gate",IF(MAX(0,E$33*BTC_Held*$A35/1000000-Debt_Principal-Pref_Notional_Total+Cash_For_EV)=0,"wiped out",Charges_Total/MAX(0,E$33*BTC_Held*$A35/1000000-Debt_Principal-Pref_Notional_Total+Cash_For_EV)))</f>
        <v/>
      </c>
      <c r="F35" s="118">
        <f>IF(AND(Gate_On="Yes",F$33&lt;mNAV_Floor),"gate",IF(MAX(0,F$33*BTC_Held*$A35/1000000-Debt_Principal-Pref_Notional_Total+Cash_For_EV)=0,"wiped out",Charges_Total/MAX(0,F$33*BTC_Held*$A35/1000000-Debt_Principal-Pref_Notional_Total+Cash_For_EV)))</f>
        <v/>
      </c>
      <c r="G35" s="118">
        <f>IF(AND(Gate_On="Yes",G$33&lt;mNAV_Floor),"gate",IF(MAX(0,G$33*BTC_Held*$A35/1000000-Debt_Principal-Pref_Notional_Total+Cash_For_EV)=0,"wiped out",Charges_Total/MAX(0,G$33*BTC_Held*$A35/1000000-Debt_Principal-Pref_Notional_Total+Cash_For_EV)))</f>
        <v/>
      </c>
      <c r="H35" s="118">
        <f>IF(AND(Gate_On="Yes",H$33&lt;mNAV_Floor),"gate",IF(MAX(0,H$33*BTC_Held*$A35/1000000-Debt_Principal-Pref_Notional_Total+Cash_For_EV)=0,"wiped out",Charges_Total/MAX(0,H$33*BTC_Held*$A35/1000000-Debt_Principal-Pref_Notional_Total+Cash_For_EV)))</f>
        <v/>
      </c>
    </row>
    <row r="36">
      <c r="A36" s="46" t="n">
        <v>50000</v>
      </c>
      <c r="B36" s="118">
        <f>IF(AND(Gate_On="Yes",B$33&lt;mNAV_Floor),"gate",IF(MAX(0,B$33*BTC_Held*$A36/1000000-Debt_Principal-Pref_Notional_Total+Cash_For_EV)=0,"wiped out",Charges_Total/MAX(0,B$33*BTC_Held*$A36/1000000-Debt_Principal-Pref_Notional_Total+Cash_For_EV)))</f>
        <v/>
      </c>
      <c r="C36" s="118">
        <f>IF(AND(Gate_On="Yes",C$33&lt;mNAV_Floor),"gate",IF(MAX(0,C$33*BTC_Held*$A36/1000000-Debt_Principal-Pref_Notional_Total+Cash_For_EV)=0,"wiped out",Charges_Total/MAX(0,C$33*BTC_Held*$A36/1000000-Debt_Principal-Pref_Notional_Total+Cash_For_EV)))</f>
        <v/>
      </c>
      <c r="D36" s="118">
        <f>IF(AND(Gate_On="Yes",D$33&lt;mNAV_Floor),"gate",IF(MAX(0,D$33*BTC_Held*$A36/1000000-Debt_Principal-Pref_Notional_Total+Cash_For_EV)=0,"wiped out",Charges_Total/MAX(0,D$33*BTC_Held*$A36/1000000-Debt_Principal-Pref_Notional_Total+Cash_For_EV)))</f>
        <v/>
      </c>
      <c r="E36" s="118">
        <f>IF(AND(Gate_On="Yes",E$33&lt;mNAV_Floor),"gate",IF(MAX(0,E$33*BTC_Held*$A36/1000000-Debt_Principal-Pref_Notional_Total+Cash_For_EV)=0,"wiped out",Charges_Total/MAX(0,E$33*BTC_Held*$A36/1000000-Debt_Principal-Pref_Notional_Total+Cash_For_EV)))</f>
        <v/>
      </c>
      <c r="F36" s="118">
        <f>IF(AND(Gate_On="Yes",F$33&lt;mNAV_Floor),"gate",IF(MAX(0,F$33*BTC_Held*$A36/1000000-Debt_Principal-Pref_Notional_Total+Cash_For_EV)=0,"wiped out",Charges_Total/MAX(0,F$33*BTC_Held*$A36/1000000-Debt_Principal-Pref_Notional_Total+Cash_For_EV)))</f>
        <v/>
      </c>
      <c r="G36" s="118">
        <f>IF(AND(Gate_On="Yes",G$33&lt;mNAV_Floor),"gate",IF(MAX(0,G$33*BTC_Held*$A36/1000000-Debt_Principal-Pref_Notional_Total+Cash_For_EV)=0,"wiped out",Charges_Total/MAX(0,G$33*BTC_Held*$A36/1000000-Debt_Principal-Pref_Notional_Total+Cash_For_EV)))</f>
        <v/>
      </c>
      <c r="H36" s="118">
        <f>IF(AND(Gate_On="Yes",H$33&lt;mNAV_Floor),"gate",IF(MAX(0,H$33*BTC_Held*$A36/1000000-Debt_Principal-Pref_Notional_Total+Cash_For_EV)=0,"wiped out",Charges_Total/MAX(0,H$33*BTC_Held*$A36/1000000-Debt_Principal-Pref_Notional_Total+Cash_For_EV)))</f>
        <v/>
      </c>
    </row>
    <row r="37">
      <c r="A37" s="46" t="n">
        <v>60000</v>
      </c>
      <c r="B37" s="118">
        <f>IF(AND(Gate_On="Yes",B$33&lt;mNAV_Floor),"gate",IF(MAX(0,B$33*BTC_Held*$A37/1000000-Debt_Principal-Pref_Notional_Total+Cash_For_EV)=0,"wiped out",Charges_Total/MAX(0,B$33*BTC_Held*$A37/1000000-Debt_Principal-Pref_Notional_Total+Cash_For_EV)))</f>
        <v/>
      </c>
      <c r="C37" s="118">
        <f>IF(AND(Gate_On="Yes",C$33&lt;mNAV_Floor),"gate",IF(MAX(0,C$33*BTC_Held*$A37/1000000-Debt_Principal-Pref_Notional_Total+Cash_For_EV)=0,"wiped out",Charges_Total/MAX(0,C$33*BTC_Held*$A37/1000000-Debt_Principal-Pref_Notional_Total+Cash_For_EV)))</f>
        <v/>
      </c>
      <c r="D37" s="118">
        <f>IF(AND(Gate_On="Yes",D$33&lt;mNAV_Floor),"gate",IF(MAX(0,D$33*BTC_Held*$A37/1000000-Debt_Principal-Pref_Notional_Total+Cash_For_EV)=0,"wiped out",Charges_Total/MAX(0,D$33*BTC_Held*$A37/1000000-Debt_Principal-Pref_Notional_Total+Cash_For_EV)))</f>
        <v/>
      </c>
      <c r="E37" s="118">
        <f>IF(AND(Gate_On="Yes",E$33&lt;mNAV_Floor),"gate",IF(MAX(0,E$33*BTC_Held*$A37/1000000-Debt_Principal-Pref_Notional_Total+Cash_For_EV)=0,"wiped out",Charges_Total/MAX(0,E$33*BTC_Held*$A37/1000000-Debt_Principal-Pref_Notional_Total+Cash_For_EV)))</f>
        <v/>
      </c>
      <c r="F37" s="118">
        <f>IF(AND(Gate_On="Yes",F$33&lt;mNAV_Floor),"gate",IF(MAX(0,F$33*BTC_Held*$A37/1000000-Debt_Principal-Pref_Notional_Total+Cash_For_EV)=0,"wiped out",Charges_Total/MAX(0,F$33*BTC_Held*$A37/1000000-Debt_Principal-Pref_Notional_Total+Cash_For_EV)))</f>
        <v/>
      </c>
      <c r="G37" s="118">
        <f>IF(AND(Gate_On="Yes",G$33&lt;mNAV_Floor),"gate",IF(MAX(0,G$33*BTC_Held*$A37/1000000-Debt_Principal-Pref_Notional_Total+Cash_For_EV)=0,"wiped out",Charges_Total/MAX(0,G$33*BTC_Held*$A37/1000000-Debt_Principal-Pref_Notional_Total+Cash_For_EV)))</f>
        <v/>
      </c>
      <c r="H37" s="118">
        <f>IF(AND(Gate_On="Yes",H$33&lt;mNAV_Floor),"gate",IF(MAX(0,H$33*BTC_Held*$A37/1000000-Debt_Principal-Pref_Notional_Total+Cash_For_EV)=0,"wiped out",Charges_Total/MAX(0,H$33*BTC_Held*$A37/1000000-Debt_Principal-Pref_Notional_Total+Cash_For_EV)))</f>
        <v/>
      </c>
    </row>
    <row r="38">
      <c r="A38" s="46" t="n">
        <v>75000</v>
      </c>
      <c r="B38" s="118">
        <f>IF(AND(Gate_On="Yes",B$33&lt;mNAV_Floor),"gate",IF(MAX(0,B$33*BTC_Held*$A38/1000000-Debt_Principal-Pref_Notional_Total+Cash_For_EV)=0,"wiped out",Charges_Total/MAX(0,B$33*BTC_Held*$A38/1000000-Debt_Principal-Pref_Notional_Total+Cash_For_EV)))</f>
        <v/>
      </c>
      <c r="C38" s="118">
        <f>IF(AND(Gate_On="Yes",C$33&lt;mNAV_Floor),"gate",IF(MAX(0,C$33*BTC_Held*$A38/1000000-Debt_Principal-Pref_Notional_Total+Cash_For_EV)=0,"wiped out",Charges_Total/MAX(0,C$33*BTC_Held*$A38/1000000-Debt_Principal-Pref_Notional_Total+Cash_For_EV)))</f>
        <v/>
      </c>
      <c r="D38" s="118">
        <f>IF(AND(Gate_On="Yes",D$33&lt;mNAV_Floor),"gate",IF(MAX(0,D$33*BTC_Held*$A38/1000000-Debt_Principal-Pref_Notional_Total+Cash_For_EV)=0,"wiped out",Charges_Total/MAX(0,D$33*BTC_Held*$A38/1000000-Debt_Principal-Pref_Notional_Total+Cash_For_EV)))</f>
        <v/>
      </c>
      <c r="E38" s="118">
        <f>IF(AND(Gate_On="Yes",E$33&lt;mNAV_Floor),"gate",IF(MAX(0,E$33*BTC_Held*$A38/1000000-Debt_Principal-Pref_Notional_Total+Cash_For_EV)=0,"wiped out",Charges_Total/MAX(0,E$33*BTC_Held*$A38/1000000-Debt_Principal-Pref_Notional_Total+Cash_For_EV)))</f>
        <v/>
      </c>
      <c r="F38" s="118">
        <f>IF(AND(Gate_On="Yes",F$33&lt;mNAV_Floor),"gate",IF(MAX(0,F$33*BTC_Held*$A38/1000000-Debt_Principal-Pref_Notional_Total+Cash_For_EV)=0,"wiped out",Charges_Total/MAX(0,F$33*BTC_Held*$A38/1000000-Debt_Principal-Pref_Notional_Total+Cash_For_EV)))</f>
        <v/>
      </c>
      <c r="G38" s="118">
        <f>IF(AND(Gate_On="Yes",G$33&lt;mNAV_Floor),"gate",IF(MAX(0,G$33*BTC_Held*$A38/1000000-Debt_Principal-Pref_Notional_Total+Cash_For_EV)=0,"wiped out",Charges_Total/MAX(0,G$33*BTC_Held*$A38/1000000-Debt_Principal-Pref_Notional_Total+Cash_For_EV)))</f>
        <v/>
      </c>
      <c r="H38" s="118">
        <f>IF(AND(Gate_On="Yes",H$33&lt;mNAV_Floor),"gate",IF(MAX(0,H$33*BTC_Held*$A38/1000000-Debt_Principal-Pref_Notional_Total+Cash_For_EV)=0,"wiped out",Charges_Total/MAX(0,H$33*BTC_Held*$A38/1000000-Debt_Principal-Pref_Notional_Total+Cash_For_EV)))</f>
        <v/>
      </c>
    </row>
    <row r="39">
      <c r="A39" s="46" t="n">
        <v>100000</v>
      </c>
      <c r="B39" s="118">
        <f>IF(AND(Gate_On="Yes",B$33&lt;mNAV_Floor),"gate",IF(MAX(0,B$33*BTC_Held*$A39/1000000-Debt_Principal-Pref_Notional_Total+Cash_For_EV)=0,"wiped out",Charges_Total/MAX(0,B$33*BTC_Held*$A39/1000000-Debt_Principal-Pref_Notional_Total+Cash_For_EV)))</f>
        <v/>
      </c>
      <c r="C39" s="118">
        <f>IF(AND(Gate_On="Yes",C$33&lt;mNAV_Floor),"gate",IF(MAX(0,C$33*BTC_Held*$A39/1000000-Debt_Principal-Pref_Notional_Total+Cash_For_EV)=0,"wiped out",Charges_Total/MAX(0,C$33*BTC_Held*$A39/1000000-Debt_Principal-Pref_Notional_Total+Cash_For_EV)))</f>
        <v/>
      </c>
      <c r="D39" s="118">
        <f>IF(AND(Gate_On="Yes",D$33&lt;mNAV_Floor),"gate",IF(MAX(0,D$33*BTC_Held*$A39/1000000-Debt_Principal-Pref_Notional_Total+Cash_For_EV)=0,"wiped out",Charges_Total/MAX(0,D$33*BTC_Held*$A39/1000000-Debt_Principal-Pref_Notional_Total+Cash_For_EV)))</f>
        <v/>
      </c>
      <c r="E39" s="118">
        <f>IF(AND(Gate_On="Yes",E$33&lt;mNAV_Floor),"gate",IF(MAX(0,E$33*BTC_Held*$A39/1000000-Debt_Principal-Pref_Notional_Total+Cash_For_EV)=0,"wiped out",Charges_Total/MAX(0,E$33*BTC_Held*$A39/1000000-Debt_Principal-Pref_Notional_Total+Cash_For_EV)))</f>
        <v/>
      </c>
      <c r="F39" s="118">
        <f>IF(AND(Gate_On="Yes",F$33&lt;mNAV_Floor),"gate",IF(MAX(0,F$33*BTC_Held*$A39/1000000-Debt_Principal-Pref_Notional_Total+Cash_For_EV)=0,"wiped out",Charges_Total/MAX(0,F$33*BTC_Held*$A39/1000000-Debt_Principal-Pref_Notional_Total+Cash_For_EV)))</f>
        <v/>
      </c>
      <c r="G39" s="118">
        <f>IF(AND(Gate_On="Yes",G$33&lt;mNAV_Floor),"gate",IF(MAX(0,G$33*BTC_Held*$A39/1000000-Debt_Principal-Pref_Notional_Total+Cash_For_EV)=0,"wiped out",Charges_Total/MAX(0,G$33*BTC_Held*$A39/1000000-Debt_Principal-Pref_Notional_Total+Cash_For_EV)))</f>
        <v/>
      </c>
      <c r="H39" s="118">
        <f>IF(AND(Gate_On="Yes",H$33&lt;mNAV_Floor),"gate",IF(MAX(0,H$33*BTC_Held*$A39/1000000-Debt_Principal-Pref_Notional_Total+Cash_For_EV)=0,"wiped out",Charges_Total/MAX(0,H$33*BTC_Held*$A39/1000000-Debt_Principal-Pref_Notional_Total+Cash_For_EV)))</f>
        <v/>
      </c>
    </row>
    <row r="40">
      <c r="A40" s="46" t="n">
        <v>125000</v>
      </c>
      <c r="B40" s="118">
        <f>IF(AND(Gate_On="Yes",B$33&lt;mNAV_Floor),"gate",IF(MAX(0,B$33*BTC_Held*$A40/1000000-Debt_Principal-Pref_Notional_Total+Cash_For_EV)=0,"wiped out",Charges_Total/MAX(0,B$33*BTC_Held*$A40/1000000-Debt_Principal-Pref_Notional_Total+Cash_For_EV)))</f>
        <v/>
      </c>
      <c r="C40" s="118">
        <f>IF(AND(Gate_On="Yes",C$33&lt;mNAV_Floor),"gate",IF(MAX(0,C$33*BTC_Held*$A40/1000000-Debt_Principal-Pref_Notional_Total+Cash_For_EV)=0,"wiped out",Charges_Total/MAX(0,C$33*BTC_Held*$A40/1000000-Debt_Principal-Pref_Notional_Total+Cash_For_EV)))</f>
        <v/>
      </c>
      <c r="D40" s="118">
        <f>IF(AND(Gate_On="Yes",D$33&lt;mNAV_Floor),"gate",IF(MAX(0,D$33*BTC_Held*$A40/1000000-Debt_Principal-Pref_Notional_Total+Cash_For_EV)=0,"wiped out",Charges_Total/MAX(0,D$33*BTC_Held*$A40/1000000-Debt_Principal-Pref_Notional_Total+Cash_For_EV)))</f>
        <v/>
      </c>
      <c r="E40" s="118">
        <f>IF(AND(Gate_On="Yes",E$33&lt;mNAV_Floor),"gate",IF(MAX(0,E$33*BTC_Held*$A40/1000000-Debt_Principal-Pref_Notional_Total+Cash_For_EV)=0,"wiped out",Charges_Total/MAX(0,E$33*BTC_Held*$A40/1000000-Debt_Principal-Pref_Notional_Total+Cash_For_EV)))</f>
        <v/>
      </c>
      <c r="F40" s="118">
        <f>IF(AND(Gate_On="Yes",F$33&lt;mNAV_Floor),"gate",IF(MAX(0,F$33*BTC_Held*$A40/1000000-Debt_Principal-Pref_Notional_Total+Cash_For_EV)=0,"wiped out",Charges_Total/MAX(0,F$33*BTC_Held*$A40/1000000-Debt_Principal-Pref_Notional_Total+Cash_For_EV)))</f>
        <v/>
      </c>
      <c r="G40" s="118">
        <f>IF(AND(Gate_On="Yes",G$33&lt;mNAV_Floor),"gate",IF(MAX(0,G$33*BTC_Held*$A40/1000000-Debt_Principal-Pref_Notional_Total+Cash_For_EV)=0,"wiped out",Charges_Total/MAX(0,G$33*BTC_Held*$A40/1000000-Debt_Principal-Pref_Notional_Total+Cash_For_EV)))</f>
        <v/>
      </c>
      <c r="H40" s="118">
        <f>IF(AND(Gate_On="Yes",H$33&lt;mNAV_Floor),"gate",IF(MAX(0,H$33*BTC_Held*$A40/1000000-Debt_Principal-Pref_Notional_Total+Cash_For_EV)=0,"wiped out",Charges_Total/MAX(0,H$33*BTC_Held*$A40/1000000-Debt_Principal-Pref_Notional_Total+Cash_For_EV)))</f>
        <v/>
      </c>
    </row>
    <row r="41">
      <c r="A41" s="46" t="n">
        <v>150000</v>
      </c>
      <c r="B41" s="118">
        <f>IF(AND(Gate_On="Yes",B$33&lt;mNAV_Floor),"gate",IF(MAX(0,B$33*BTC_Held*$A41/1000000-Debt_Principal-Pref_Notional_Total+Cash_For_EV)=0,"wiped out",Charges_Total/MAX(0,B$33*BTC_Held*$A41/1000000-Debt_Principal-Pref_Notional_Total+Cash_For_EV)))</f>
        <v/>
      </c>
      <c r="C41" s="118">
        <f>IF(AND(Gate_On="Yes",C$33&lt;mNAV_Floor),"gate",IF(MAX(0,C$33*BTC_Held*$A41/1000000-Debt_Principal-Pref_Notional_Total+Cash_For_EV)=0,"wiped out",Charges_Total/MAX(0,C$33*BTC_Held*$A41/1000000-Debt_Principal-Pref_Notional_Total+Cash_For_EV)))</f>
        <v/>
      </c>
      <c r="D41" s="118">
        <f>IF(AND(Gate_On="Yes",D$33&lt;mNAV_Floor),"gate",IF(MAX(0,D$33*BTC_Held*$A41/1000000-Debt_Principal-Pref_Notional_Total+Cash_For_EV)=0,"wiped out",Charges_Total/MAX(0,D$33*BTC_Held*$A41/1000000-Debt_Principal-Pref_Notional_Total+Cash_For_EV)))</f>
        <v/>
      </c>
      <c r="E41" s="118">
        <f>IF(AND(Gate_On="Yes",E$33&lt;mNAV_Floor),"gate",IF(MAX(0,E$33*BTC_Held*$A41/1000000-Debt_Principal-Pref_Notional_Total+Cash_For_EV)=0,"wiped out",Charges_Total/MAX(0,E$33*BTC_Held*$A41/1000000-Debt_Principal-Pref_Notional_Total+Cash_For_EV)))</f>
        <v/>
      </c>
      <c r="F41" s="118">
        <f>IF(AND(Gate_On="Yes",F$33&lt;mNAV_Floor),"gate",IF(MAX(0,F$33*BTC_Held*$A41/1000000-Debt_Principal-Pref_Notional_Total+Cash_For_EV)=0,"wiped out",Charges_Total/MAX(0,F$33*BTC_Held*$A41/1000000-Debt_Principal-Pref_Notional_Total+Cash_For_EV)))</f>
        <v/>
      </c>
      <c r="G41" s="118">
        <f>IF(AND(Gate_On="Yes",G$33&lt;mNAV_Floor),"gate",IF(MAX(0,G$33*BTC_Held*$A41/1000000-Debt_Principal-Pref_Notional_Total+Cash_For_EV)=0,"wiped out",Charges_Total/MAX(0,G$33*BTC_Held*$A41/1000000-Debt_Principal-Pref_Notional_Total+Cash_For_EV)))</f>
        <v/>
      </c>
      <c r="H41" s="118">
        <f>IF(AND(Gate_On="Yes",H$33&lt;mNAV_Floor),"gate",IF(MAX(0,H$33*BTC_Held*$A41/1000000-Debt_Principal-Pref_Notional_Total+Cash_For_EV)=0,"wiped out",Charges_Total/MAX(0,H$33*BTC_Held*$A41/1000000-Debt_Principal-Pref_Notional_Total+Cash_For_EV)))</f>
        <v/>
      </c>
    </row>
    <row r="42">
      <c r="A42" s="46" t="n">
        <v>200000</v>
      </c>
      <c r="B42" s="118">
        <f>IF(AND(Gate_On="Yes",B$33&lt;mNAV_Floor),"gate",IF(MAX(0,B$33*BTC_Held*$A42/1000000-Debt_Principal-Pref_Notional_Total+Cash_For_EV)=0,"wiped out",Charges_Total/MAX(0,B$33*BTC_Held*$A42/1000000-Debt_Principal-Pref_Notional_Total+Cash_For_EV)))</f>
        <v/>
      </c>
      <c r="C42" s="118">
        <f>IF(AND(Gate_On="Yes",C$33&lt;mNAV_Floor),"gate",IF(MAX(0,C$33*BTC_Held*$A42/1000000-Debt_Principal-Pref_Notional_Total+Cash_For_EV)=0,"wiped out",Charges_Total/MAX(0,C$33*BTC_Held*$A42/1000000-Debt_Principal-Pref_Notional_Total+Cash_For_EV)))</f>
        <v/>
      </c>
      <c r="D42" s="118">
        <f>IF(AND(Gate_On="Yes",D$33&lt;mNAV_Floor),"gate",IF(MAX(0,D$33*BTC_Held*$A42/1000000-Debt_Principal-Pref_Notional_Total+Cash_For_EV)=0,"wiped out",Charges_Total/MAX(0,D$33*BTC_Held*$A42/1000000-Debt_Principal-Pref_Notional_Total+Cash_For_EV)))</f>
        <v/>
      </c>
      <c r="E42" s="118">
        <f>IF(AND(Gate_On="Yes",E$33&lt;mNAV_Floor),"gate",IF(MAX(0,E$33*BTC_Held*$A42/1000000-Debt_Principal-Pref_Notional_Total+Cash_For_EV)=0,"wiped out",Charges_Total/MAX(0,E$33*BTC_Held*$A42/1000000-Debt_Principal-Pref_Notional_Total+Cash_For_EV)))</f>
        <v/>
      </c>
      <c r="F42" s="118">
        <f>IF(AND(Gate_On="Yes",F$33&lt;mNAV_Floor),"gate",IF(MAX(0,F$33*BTC_Held*$A42/1000000-Debt_Principal-Pref_Notional_Total+Cash_For_EV)=0,"wiped out",Charges_Total/MAX(0,F$33*BTC_Held*$A42/1000000-Debt_Principal-Pref_Notional_Total+Cash_For_EV)))</f>
        <v/>
      </c>
      <c r="G42" s="118">
        <f>IF(AND(Gate_On="Yes",G$33&lt;mNAV_Floor),"gate",IF(MAX(0,G$33*BTC_Held*$A42/1000000-Debt_Principal-Pref_Notional_Total+Cash_For_EV)=0,"wiped out",Charges_Total/MAX(0,G$33*BTC_Held*$A42/1000000-Debt_Principal-Pref_Notional_Total+Cash_For_EV)))</f>
        <v/>
      </c>
      <c r="H42" s="118">
        <f>IF(AND(Gate_On="Yes",H$33&lt;mNAV_Floor),"gate",IF(MAX(0,H$33*BTC_Held*$A42/1000000-Debt_Principal-Pref_Notional_Total+Cash_For_EV)=0,"wiped out",Charges_Total/MAX(0,H$33*BTC_Held*$A42/1000000-Debt_Principal-Pref_Notional_Total+Cash_For_EV)))</f>
        <v/>
      </c>
    </row>
    <row r="43">
      <c r="A43" s="114">
        <f>BTC_Spot</f>
        <v/>
      </c>
      <c r="B43" s="119">
        <f>IF(AND(Gate_On="Yes",B$33&lt;mNAV_Floor),"gate",IF(MAX(0,B$33*BTC_Held*$A43/1000000-Debt_Principal-Pref_Notional_Total+Cash_For_EV)=0,"wiped out",Charges_Total/MAX(0,B$33*BTC_Held*$A43/1000000-Debt_Principal-Pref_Notional_Total+Cash_For_EV)))</f>
        <v/>
      </c>
      <c r="C43" s="119">
        <f>IF(AND(Gate_On="Yes",C$33&lt;mNAV_Floor),"gate",IF(MAX(0,C$33*BTC_Held*$A43/1000000-Debt_Principal-Pref_Notional_Total+Cash_For_EV)=0,"wiped out",Charges_Total/MAX(0,C$33*BTC_Held*$A43/1000000-Debt_Principal-Pref_Notional_Total+Cash_For_EV)))</f>
        <v/>
      </c>
      <c r="D43" s="119">
        <f>IF(AND(Gate_On="Yes",D$33&lt;mNAV_Floor),"gate",IF(MAX(0,D$33*BTC_Held*$A43/1000000-Debt_Principal-Pref_Notional_Total+Cash_For_EV)=0,"wiped out",Charges_Total/MAX(0,D$33*BTC_Held*$A43/1000000-Debt_Principal-Pref_Notional_Total+Cash_For_EV)))</f>
        <v/>
      </c>
      <c r="E43" s="119">
        <f>IF(AND(Gate_On="Yes",E$33&lt;mNAV_Floor),"gate",IF(MAX(0,E$33*BTC_Held*$A43/1000000-Debt_Principal-Pref_Notional_Total+Cash_For_EV)=0,"wiped out",Charges_Total/MAX(0,E$33*BTC_Held*$A43/1000000-Debt_Principal-Pref_Notional_Total+Cash_For_EV)))</f>
        <v/>
      </c>
      <c r="F43" s="119">
        <f>IF(AND(Gate_On="Yes",F$33&lt;mNAV_Floor),"gate",IF(MAX(0,F$33*BTC_Held*$A43/1000000-Debt_Principal-Pref_Notional_Total+Cash_For_EV)=0,"wiped out",Charges_Total/MAX(0,F$33*BTC_Held*$A43/1000000-Debt_Principal-Pref_Notional_Total+Cash_For_EV)))</f>
        <v/>
      </c>
      <c r="G43" s="119">
        <f>IF(AND(Gate_On="Yes",G$33&lt;mNAV_Floor),"gate",IF(MAX(0,G$33*BTC_Held*$A43/1000000-Debt_Principal-Pref_Notional_Total+Cash_For_EV)=0,"wiped out",Charges_Total/MAX(0,G$33*BTC_Held*$A43/1000000-Debt_Principal-Pref_Notional_Total+Cash_For_EV)))</f>
        <v/>
      </c>
      <c r="H43" s="119">
        <f>IF(AND(Gate_On="Yes",H$33&lt;mNAV_Floor),"gate",IF(MAX(0,H$33*BTC_Held*$A43/1000000-Debt_Principal-Pref_Notional_Total+Cash_For_EV)=0,"wiped out",Charges_Total/MAX(0,H$33*BTC_Held*$A43/1000000-Debt_Principal-Pref_Notional_Total+Cash_For_EV)))</f>
        <v/>
      </c>
    </row>
    <row r="44">
      <c r="A44" s="26" t="inlineStr">
        <is>
          <t>Charges / implied market cap. 'gate' = no common sales below the floor. Amber: 10% or more of the company in one year.</t>
        </is>
      </c>
    </row>
    <row r="46">
      <c r="A46" s="40" t="inlineStr">
        <is>
          <t>Grid 4. Bitcoin as the last source (does not depend on mNAV)</t>
        </is>
      </c>
      <c r="B46" s="41" t="n"/>
      <c r="C46" s="41" t="n"/>
      <c r="D46" s="41" t="n"/>
      <c r="E46" s="41" t="n"/>
      <c r="F46" s="41" t="n"/>
    </row>
    <row r="47" ht="30" customHeight="1">
      <c r="A47" s="8" t="inlineStr">
        <is>
          <t>BTC price</t>
        </is>
      </c>
      <c r="B47" s="9" t="inlineStr">
        <is>
          <t>BTC NAV ($m)</t>
        </is>
      </c>
      <c r="C47" s="9" t="inlineStr">
        <is>
          <t>BTC cover (x)</t>
        </is>
      </c>
      <c r="D47" s="9" t="inlineStr">
        <is>
          <t>BTC for 1 yr of charges</t>
        </is>
      </c>
      <c r="E47" s="9" t="inlineStr">
        <is>
          <t>% of holdings</t>
        </is>
      </c>
      <c r="F47" s="9" t="inlineStr">
        <is>
          <t>Years BTC alone funds</t>
        </is>
      </c>
    </row>
    <row r="48">
      <c r="A48" s="46" t="n">
        <v>30000</v>
      </c>
      <c r="B48" s="113">
        <f>BTC_Held*A48/1000000</f>
        <v/>
      </c>
      <c r="C48" s="120">
        <f>B48/Claims_Total</f>
        <v/>
      </c>
      <c r="D48" s="121">
        <f>Charges_Total*1000000/A48</f>
        <v/>
      </c>
      <c r="E48" s="122">
        <f>D48/BTC_Held</f>
        <v/>
      </c>
      <c r="F48" s="123">
        <f>B48/Charges_Total</f>
        <v/>
      </c>
    </row>
    <row r="49">
      <c r="A49" s="46" t="n">
        <v>40000</v>
      </c>
      <c r="B49" s="113">
        <f>BTC_Held*A49/1000000</f>
        <v/>
      </c>
      <c r="C49" s="120">
        <f>B49/Claims_Total</f>
        <v/>
      </c>
      <c r="D49" s="121">
        <f>Charges_Total*1000000/A49</f>
        <v/>
      </c>
      <c r="E49" s="122">
        <f>D49/BTC_Held</f>
        <v/>
      </c>
      <c r="F49" s="123">
        <f>B49/Charges_Total</f>
        <v/>
      </c>
    </row>
    <row r="50">
      <c r="A50" s="46" t="n">
        <v>50000</v>
      </c>
      <c r="B50" s="113">
        <f>BTC_Held*A50/1000000</f>
        <v/>
      </c>
      <c r="C50" s="120">
        <f>B50/Claims_Total</f>
        <v/>
      </c>
      <c r="D50" s="121">
        <f>Charges_Total*1000000/A50</f>
        <v/>
      </c>
      <c r="E50" s="122">
        <f>D50/BTC_Held</f>
        <v/>
      </c>
      <c r="F50" s="123">
        <f>B50/Charges_Total</f>
        <v/>
      </c>
    </row>
    <row r="51">
      <c r="A51" s="46" t="n">
        <v>60000</v>
      </c>
      <c r="B51" s="113">
        <f>BTC_Held*A51/1000000</f>
        <v/>
      </c>
      <c r="C51" s="120">
        <f>B51/Claims_Total</f>
        <v/>
      </c>
      <c r="D51" s="121">
        <f>Charges_Total*1000000/A51</f>
        <v/>
      </c>
      <c r="E51" s="122">
        <f>D51/BTC_Held</f>
        <v/>
      </c>
      <c r="F51" s="123">
        <f>B51/Charges_Total</f>
        <v/>
      </c>
    </row>
    <row r="52">
      <c r="A52" s="46" t="n">
        <v>75000</v>
      </c>
      <c r="B52" s="113">
        <f>BTC_Held*A52/1000000</f>
        <v/>
      </c>
      <c r="C52" s="120">
        <f>B52/Claims_Total</f>
        <v/>
      </c>
      <c r="D52" s="121">
        <f>Charges_Total*1000000/A52</f>
        <v/>
      </c>
      <c r="E52" s="122">
        <f>D52/BTC_Held</f>
        <v/>
      </c>
      <c r="F52" s="123">
        <f>B52/Charges_Total</f>
        <v/>
      </c>
    </row>
    <row r="53">
      <c r="A53" s="46" t="n">
        <v>100000</v>
      </c>
      <c r="B53" s="113">
        <f>BTC_Held*A53/1000000</f>
        <v/>
      </c>
      <c r="C53" s="120">
        <f>B53/Claims_Total</f>
        <v/>
      </c>
      <c r="D53" s="121">
        <f>Charges_Total*1000000/A53</f>
        <v/>
      </c>
      <c r="E53" s="122">
        <f>D53/BTC_Held</f>
        <v/>
      </c>
      <c r="F53" s="123">
        <f>B53/Charges_Total</f>
        <v/>
      </c>
    </row>
    <row r="54">
      <c r="A54" s="46" t="n">
        <v>125000</v>
      </c>
      <c r="B54" s="113">
        <f>BTC_Held*A54/1000000</f>
        <v/>
      </c>
      <c r="C54" s="120">
        <f>B54/Claims_Total</f>
        <v/>
      </c>
      <c r="D54" s="121">
        <f>Charges_Total*1000000/A54</f>
        <v/>
      </c>
      <c r="E54" s="122">
        <f>D54/BTC_Held</f>
        <v/>
      </c>
      <c r="F54" s="123">
        <f>B54/Charges_Total</f>
        <v/>
      </c>
    </row>
    <row r="55">
      <c r="A55" s="46" t="n">
        <v>150000</v>
      </c>
      <c r="B55" s="113">
        <f>BTC_Held*A55/1000000</f>
        <v/>
      </c>
      <c r="C55" s="120">
        <f>B55/Claims_Total</f>
        <v/>
      </c>
      <c r="D55" s="121">
        <f>Charges_Total*1000000/A55</f>
        <v/>
      </c>
      <c r="E55" s="122">
        <f>D55/BTC_Held</f>
        <v/>
      </c>
      <c r="F55" s="123">
        <f>B55/Charges_Total</f>
        <v/>
      </c>
    </row>
    <row r="56">
      <c r="A56" s="46" t="n">
        <v>200000</v>
      </c>
      <c r="B56" s="113">
        <f>BTC_Held*A56/1000000</f>
        <v/>
      </c>
      <c r="C56" s="120">
        <f>B56/Claims_Total</f>
        <v/>
      </c>
      <c r="D56" s="121">
        <f>Charges_Total*1000000/A56</f>
        <v/>
      </c>
      <c r="E56" s="122">
        <f>D56/BTC_Held</f>
        <v/>
      </c>
      <c r="F56" s="123">
        <f>B56/Charges_Total</f>
        <v/>
      </c>
    </row>
    <row r="57">
      <c r="A57" s="114">
        <f>BTC_Spot</f>
        <v/>
      </c>
      <c r="B57" s="113">
        <f>BTC_Held*A57/1000000</f>
        <v/>
      </c>
      <c r="C57" s="120">
        <f>B57/Claims_Total</f>
        <v/>
      </c>
      <c r="D57" s="121">
        <f>Charges_Total*1000000/A57</f>
        <v/>
      </c>
      <c r="E57" s="122">
        <f>D57/BTC_Held</f>
        <v/>
      </c>
      <c r="F57" s="123">
        <f>B57/Charges_Total</f>
        <v/>
      </c>
    </row>
    <row r="60">
      <c r="A60" s="40" t="inlineStr">
        <is>
          <t>Grid 5. Months the Reserve alone covers, by STRC rate and EUR/USD (other charges at live values)</t>
        </is>
      </c>
      <c r="B60" s="41" t="n"/>
      <c r="C60" s="41" t="n"/>
      <c r="D60" s="41" t="n"/>
      <c r="E60" s="41" t="n"/>
    </row>
    <row r="61">
      <c r="A61" s="2" t="inlineStr">
        <is>
          <t>STRC rate ↓   EUR/USD →</t>
        </is>
      </c>
      <c r="B61" s="124" t="n">
        <v>1</v>
      </c>
      <c r="C61" s="124" t="n">
        <v>1.1</v>
      </c>
      <c r="D61" s="124" t="n">
        <v>1.2</v>
      </c>
      <c r="E61" s="124" t="n">
        <v>1.3</v>
      </c>
    </row>
    <row r="62">
      <c r="A62" s="56" t="n">
        <v>0.1</v>
      </c>
      <c r="B62" s="125">
        <f>Reserve_Live/(Charges_Total-Div_STRC_Cash-Div_STRE_Cash+STRC_Notional_Now*$A62+Notional_STRE_EUR*B$61*Rate_STRE)*12</f>
        <v/>
      </c>
      <c r="C62" s="125">
        <f>Reserve_Live/(Charges_Total-Div_STRC_Cash-Div_STRE_Cash+STRC_Notional_Now*$A62+Notional_STRE_EUR*C$61*Rate_STRE)*12</f>
        <v/>
      </c>
      <c r="D62" s="125">
        <f>Reserve_Live/(Charges_Total-Div_STRC_Cash-Div_STRE_Cash+STRC_Notional_Now*$A62+Notional_STRE_EUR*D$61*Rate_STRE)*12</f>
        <v/>
      </c>
      <c r="E62" s="125">
        <f>Reserve_Live/(Charges_Total-Div_STRC_Cash-Div_STRE_Cash+STRC_Notional_Now*$A62+Notional_STRE_EUR*E$61*Rate_STRE)*12</f>
        <v/>
      </c>
    </row>
    <row r="63">
      <c r="A63" s="56" t="n">
        <v>0.11</v>
      </c>
      <c r="B63" s="125">
        <f>Reserve_Live/(Charges_Total-Div_STRC_Cash-Div_STRE_Cash+STRC_Notional_Now*$A63+Notional_STRE_EUR*B$61*Rate_STRE)*12</f>
        <v/>
      </c>
      <c r="C63" s="125">
        <f>Reserve_Live/(Charges_Total-Div_STRC_Cash-Div_STRE_Cash+STRC_Notional_Now*$A63+Notional_STRE_EUR*C$61*Rate_STRE)*12</f>
        <v/>
      </c>
      <c r="D63" s="125">
        <f>Reserve_Live/(Charges_Total-Div_STRC_Cash-Div_STRE_Cash+STRC_Notional_Now*$A63+Notional_STRE_EUR*D$61*Rate_STRE)*12</f>
        <v/>
      </c>
      <c r="E63" s="125">
        <f>Reserve_Live/(Charges_Total-Div_STRC_Cash-Div_STRE_Cash+STRC_Notional_Now*$A63+Notional_STRE_EUR*E$61*Rate_STRE)*12</f>
        <v/>
      </c>
    </row>
    <row r="64">
      <c r="A64" s="56" t="n">
        <v>0.12</v>
      </c>
      <c r="B64" s="125">
        <f>Reserve_Live/(Charges_Total-Div_STRC_Cash-Div_STRE_Cash+STRC_Notional_Now*$A64+Notional_STRE_EUR*B$61*Rate_STRE)*12</f>
        <v/>
      </c>
      <c r="C64" s="125">
        <f>Reserve_Live/(Charges_Total-Div_STRC_Cash-Div_STRE_Cash+STRC_Notional_Now*$A64+Notional_STRE_EUR*C$61*Rate_STRE)*12</f>
        <v/>
      </c>
      <c r="D64" s="125">
        <f>Reserve_Live/(Charges_Total-Div_STRC_Cash-Div_STRE_Cash+STRC_Notional_Now*$A64+Notional_STRE_EUR*D$61*Rate_STRE)*12</f>
        <v/>
      </c>
      <c r="E64" s="125">
        <f>Reserve_Live/(Charges_Total-Div_STRC_Cash-Div_STRE_Cash+STRC_Notional_Now*$A64+Notional_STRE_EUR*E$61*Rate_STRE)*12</f>
        <v/>
      </c>
    </row>
    <row r="65">
      <c r="A65" s="56" t="n">
        <v>0.13</v>
      </c>
      <c r="B65" s="125">
        <f>Reserve_Live/(Charges_Total-Div_STRC_Cash-Div_STRE_Cash+STRC_Notional_Now*$A65+Notional_STRE_EUR*B$61*Rate_STRE)*12</f>
        <v/>
      </c>
      <c r="C65" s="125">
        <f>Reserve_Live/(Charges_Total-Div_STRC_Cash-Div_STRE_Cash+STRC_Notional_Now*$A65+Notional_STRE_EUR*C$61*Rate_STRE)*12</f>
        <v/>
      </c>
      <c r="D65" s="125">
        <f>Reserve_Live/(Charges_Total-Div_STRC_Cash-Div_STRE_Cash+STRC_Notional_Now*$A65+Notional_STRE_EUR*D$61*Rate_STRE)*12</f>
        <v/>
      </c>
      <c r="E65" s="125">
        <f>Reserve_Live/(Charges_Total-Div_STRC_Cash-Div_STRE_Cash+STRC_Notional_Now*$A65+Notional_STRE_EUR*E$61*Rate_STRE)*12</f>
        <v/>
      </c>
    </row>
    <row r="66">
      <c r="A66" s="56" t="n">
        <v>0.14</v>
      </c>
      <c r="B66" s="125">
        <f>Reserve_Live/(Charges_Total-Div_STRC_Cash-Div_STRE_Cash+STRC_Notional_Now*$A66+Notional_STRE_EUR*B$61*Rate_STRE)*12</f>
        <v/>
      </c>
      <c r="C66" s="125">
        <f>Reserve_Live/(Charges_Total-Div_STRC_Cash-Div_STRE_Cash+STRC_Notional_Now*$A66+Notional_STRE_EUR*C$61*Rate_STRE)*12</f>
        <v/>
      </c>
      <c r="D66" s="125">
        <f>Reserve_Live/(Charges_Total-Div_STRC_Cash-Div_STRE_Cash+STRC_Notional_Now*$A66+Notional_STRE_EUR*D$61*Rate_STRE)*12</f>
        <v/>
      </c>
      <c r="E66" s="125">
        <f>Reserve_Live/(Charges_Total-Div_STRC_Cash-Div_STRE_Cash+STRC_Notional_Now*$A66+Notional_STRE_EUR*E$61*Rate_STRE)*12</f>
        <v/>
      </c>
    </row>
    <row r="67">
      <c r="A67" s="56" t="n">
        <v>0.15</v>
      </c>
      <c r="B67" s="125">
        <f>Reserve_Live/(Charges_Total-Div_STRC_Cash-Div_STRE_Cash+STRC_Notional_Now*$A67+Notional_STRE_EUR*B$61*Rate_STRE)*12</f>
        <v/>
      </c>
      <c r="C67" s="125">
        <f>Reserve_Live/(Charges_Total-Div_STRC_Cash-Div_STRE_Cash+STRC_Notional_Now*$A67+Notional_STRE_EUR*C$61*Rate_STRE)*12</f>
        <v/>
      </c>
      <c r="D67" s="125">
        <f>Reserve_Live/(Charges_Total-Div_STRC_Cash-Div_STRE_Cash+STRC_Notional_Now*$A67+Notional_STRE_EUR*D$61*Rate_STRE)*12</f>
        <v/>
      </c>
      <c r="E67" s="125">
        <f>Reserve_Live/(Charges_Total-Div_STRC_Cash-Div_STRE_Cash+STRC_Notional_Now*$A67+Notional_STRE_EUR*E$61*Rate_STRE)*12</f>
        <v/>
      </c>
    </row>
    <row r="68">
      <c r="A68" s="26" t="inlineStr">
        <is>
          <t>Each point of STRC rate moves annual charges by 1% of STRC notional. EUR/USD only moves STRE.</t>
        </is>
      </c>
    </row>
    <row r="69">
      <c r="A69" s="26" t="inlineStr">
        <is>
          <t>Prefer a What-If Data Table? Point the Custom BTC change and mNAV at a grid's headers, select the grid with headers, then Data &gt; What-If Analysis &gt; Data Table.</t>
        </is>
      </c>
    </row>
    <row r="72">
      <c r="A72" s="40" t="inlineStr">
        <is>
          <t>Chart helper for the Dashboard: Grid 3 at four mNAV levels (gated points are left out of the lines)</t>
        </is>
      </c>
      <c r="B72" s="41" t="n"/>
      <c r="C72" s="41" t="n"/>
      <c r="D72" s="41" t="n"/>
      <c r="E72" s="41" t="n"/>
    </row>
    <row r="73">
      <c r="A73" s="3" t="inlineStr">
        <is>
          <t>BTC price</t>
        </is>
      </c>
      <c r="B73" s="3">
        <f>TEXT(D$33,"0.0")&amp;"x mNAV"</f>
        <v/>
      </c>
      <c r="C73" s="3">
        <f>TEXT(F$33,"0.0")&amp;"x mNAV"</f>
        <v/>
      </c>
      <c r="D73" s="3">
        <f>TEXT(G$33,"0.0")&amp;"x mNAV"</f>
        <v/>
      </c>
      <c r="E73" s="3">
        <f>TEXT(H$33,"0.0")&amp;"x mNAV"</f>
        <v/>
      </c>
    </row>
    <row r="74">
      <c r="A74" s="70">
        <f>A34</f>
        <v/>
      </c>
      <c r="B74" s="85">
        <f>IF(ISNUMBER(D34),D34,NA())</f>
        <v/>
      </c>
      <c r="C74" s="85">
        <f>IF(ISNUMBER(F34),F34,NA())</f>
        <v/>
      </c>
      <c r="D74" s="85">
        <f>IF(ISNUMBER(G34),G34,NA())</f>
        <v/>
      </c>
      <c r="E74" s="85">
        <f>IF(ISNUMBER(H34),H34,NA())</f>
        <v/>
      </c>
    </row>
    <row r="75">
      <c r="A75" s="70">
        <f>A35</f>
        <v/>
      </c>
      <c r="B75" s="85">
        <f>IF(ISNUMBER(D35),D35,NA())</f>
        <v/>
      </c>
      <c r="C75" s="85">
        <f>IF(ISNUMBER(F35),F35,NA())</f>
        <v/>
      </c>
      <c r="D75" s="85">
        <f>IF(ISNUMBER(G35),G35,NA())</f>
        <v/>
      </c>
      <c r="E75" s="85">
        <f>IF(ISNUMBER(H35),H35,NA())</f>
        <v/>
      </c>
    </row>
    <row r="76">
      <c r="A76" s="70">
        <f>A36</f>
        <v/>
      </c>
      <c r="B76" s="85">
        <f>IF(ISNUMBER(D36),D36,NA())</f>
        <v/>
      </c>
      <c r="C76" s="85">
        <f>IF(ISNUMBER(F36),F36,NA())</f>
        <v/>
      </c>
      <c r="D76" s="85">
        <f>IF(ISNUMBER(G36),G36,NA())</f>
        <v/>
      </c>
      <c r="E76" s="85">
        <f>IF(ISNUMBER(H36),H36,NA())</f>
        <v/>
      </c>
    </row>
    <row r="77">
      <c r="A77" s="70">
        <f>A37</f>
        <v/>
      </c>
      <c r="B77" s="85">
        <f>IF(ISNUMBER(D37),D37,NA())</f>
        <v/>
      </c>
      <c r="C77" s="85">
        <f>IF(ISNUMBER(F37),F37,NA())</f>
        <v/>
      </c>
      <c r="D77" s="85">
        <f>IF(ISNUMBER(G37),G37,NA())</f>
        <v/>
      </c>
      <c r="E77" s="85">
        <f>IF(ISNUMBER(H37),H37,NA())</f>
        <v/>
      </c>
    </row>
    <row r="78">
      <c r="A78" s="70">
        <f>A38</f>
        <v/>
      </c>
      <c r="B78" s="85">
        <f>IF(ISNUMBER(D38),D38,NA())</f>
        <v/>
      </c>
      <c r="C78" s="85">
        <f>IF(ISNUMBER(F38),F38,NA())</f>
        <v/>
      </c>
      <c r="D78" s="85">
        <f>IF(ISNUMBER(G38),G38,NA())</f>
        <v/>
      </c>
      <c r="E78" s="85">
        <f>IF(ISNUMBER(H38),H38,NA())</f>
        <v/>
      </c>
    </row>
    <row r="79">
      <c r="A79" s="70">
        <f>A39</f>
        <v/>
      </c>
      <c r="B79" s="85">
        <f>IF(ISNUMBER(D39),D39,NA())</f>
        <v/>
      </c>
      <c r="C79" s="85">
        <f>IF(ISNUMBER(F39),F39,NA())</f>
        <v/>
      </c>
      <c r="D79" s="85">
        <f>IF(ISNUMBER(G39),G39,NA())</f>
        <v/>
      </c>
      <c r="E79" s="85">
        <f>IF(ISNUMBER(H39),H39,NA())</f>
        <v/>
      </c>
    </row>
    <row r="80">
      <c r="A80" s="70">
        <f>A40</f>
        <v/>
      </c>
      <c r="B80" s="85">
        <f>IF(ISNUMBER(D40),D40,NA())</f>
        <v/>
      </c>
      <c r="C80" s="85">
        <f>IF(ISNUMBER(F40),F40,NA())</f>
        <v/>
      </c>
      <c r="D80" s="85">
        <f>IF(ISNUMBER(G40),G40,NA())</f>
        <v/>
      </c>
      <c r="E80" s="85">
        <f>IF(ISNUMBER(H40),H40,NA())</f>
        <v/>
      </c>
    </row>
    <row r="81">
      <c r="A81" s="70">
        <f>A41</f>
        <v/>
      </c>
      <c r="B81" s="85">
        <f>IF(ISNUMBER(D41),D41,NA())</f>
        <v/>
      </c>
      <c r="C81" s="85">
        <f>IF(ISNUMBER(F41),F41,NA())</f>
        <v/>
      </c>
      <c r="D81" s="85">
        <f>IF(ISNUMBER(G41),G41,NA())</f>
        <v/>
      </c>
      <c r="E81" s="85">
        <f>IF(ISNUMBER(H41),H41,NA())</f>
        <v/>
      </c>
    </row>
    <row r="82">
      <c r="A82" s="70">
        <f>A42</f>
        <v/>
      </c>
      <c r="B82" s="85">
        <f>IF(ISNUMBER(D42),D42,NA())</f>
        <v/>
      </c>
      <c r="C82" s="85">
        <f>IF(ISNUMBER(F42),F42,NA())</f>
        <v/>
      </c>
      <c r="D82" s="85">
        <f>IF(ISNUMBER(G42),G42,NA())</f>
        <v/>
      </c>
      <c r="E82" s="85">
        <f>IF(ISNUMBER(H42),H42,NA())</f>
        <v/>
      </c>
    </row>
  </sheetData>
  <conditionalFormatting sqref="B20:H29">
    <cfRule type="cellIs" priority="1" operator="lessThan" dxfId="3">
      <formula>1</formula>
    </cfRule>
    <cfRule type="cellIs" priority="2" operator="lessThan" dxfId="2">
      <formula>Target_Years</formula>
    </cfRule>
  </conditionalFormatting>
  <conditionalFormatting sqref="B34:H43">
    <cfRule type="expression" priority="3" dxfId="2">
      <formula>AND(ISNUMBER(B34),B34&gt;=0.1)</formula>
    </cfRule>
    <cfRule type="expression" priority="4" dxfId="6">
      <formula>NOT(ISNUMBER(B34))</formula>
    </cfRule>
  </conditionalFormatting>
  <conditionalFormatting sqref="C48:C57">
    <cfRule type="cellIs" priority="5" operator="lessThan" dxfId="3">
      <formula>1</formula>
    </cfRule>
  </conditionalFormatting>
  <conditionalFormatting sqref="B62:E67">
    <cfRule type="cellIs" priority="6" operator="lessThan" dxfId="2">
      <formula>Reserve_Min_Months</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00B050"/>
    <outlinePr summaryBelow="1" summaryRight="1"/>
    <pageSetUpPr fitToPage="1"/>
  </sheetPr>
  <dimension ref="A1:E36"/>
  <sheetViews>
    <sheetView showGridLines="0" workbookViewId="0">
      <selection activeCell="A1" sqref="A1"/>
    </sheetView>
  </sheetViews>
  <sheetFormatPr baseColWidth="8" defaultRowHeight="15"/>
  <cols>
    <col width="66" customWidth="1" min="1" max="1"/>
    <col width="16" customWidth="1" min="2" max="2"/>
    <col width="16" customWidth="1" min="3" max="3"/>
    <col width="10" customWidth="1" min="4" max="4"/>
    <col width="70" customWidth="1" min="5" max="5"/>
  </cols>
  <sheetData>
    <row r="1">
      <c r="A1" s="1" t="inlineStr">
        <is>
          <t>Checks</t>
        </is>
      </c>
    </row>
    <row r="2">
      <c r="A2" s="2" t="inlineStr">
        <is>
          <t>Every row should read PASS. The Dashboard shows the overall status next to the selector.</t>
        </is>
      </c>
    </row>
    <row r="4">
      <c r="A4" s="8" t="inlineStr">
        <is>
          <t>Check</t>
        </is>
      </c>
      <c r="B4" s="9" t="inlineStr">
        <is>
          <t>Value</t>
        </is>
      </c>
      <c r="C4" s="9" t="inlineStr">
        <is>
          <t>Expected</t>
        </is>
      </c>
      <c r="D4" s="9" t="inlineStr">
        <is>
          <t>Result</t>
        </is>
      </c>
      <c r="E4" s="9" t="inlineStr">
        <is>
          <t>Why it matters</t>
        </is>
      </c>
    </row>
    <row r="5">
      <c r="A5" s="42" t="inlineStr">
        <is>
          <t>Cash dividends + debt interest = total charges</t>
        </is>
      </c>
      <c r="B5" s="126">
        <f>Pref_Cash_Div_Total+Conv_Interest_Annual</f>
        <v/>
      </c>
      <c r="C5" s="126">
        <f>Charges_Total</f>
        <v/>
      </c>
      <c r="D5" s="127">
        <f>IF(ABS(B5-C5)&lt;0.01,"PASS","FAIL")</f>
        <v/>
      </c>
      <c r="E5" s="26" t="inlineStr">
        <is>
          <t>Instruments and Obligations agree</t>
        </is>
      </c>
    </row>
    <row r="6">
      <c r="A6" s="42" t="inlineStr">
        <is>
          <t>Cumulative charges, last row = total</t>
        </is>
      </c>
      <c r="B6" s="126">
        <f>Obligations!D10</f>
        <v/>
      </c>
      <c r="C6" s="126">
        <f>Charges_Total</f>
        <v/>
      </c>
      <c r="D6" s="127">
        <f>IF(ABS(B6-C6)&lt;0.01,"PASS","FAIL")</f>
        <v/>
      </c>
      <c r="E6" s="26" t="inlineStr">
        <is>
          <t>Stack adds up</t>
        </is>
      </c>
    </row>
    <row r="7">
      <c r="A7" s="42" t="inlineStr">
        <is>
          <t>Cumulative claims, last row = debt + preferred notional</t>
        </is>
      </c>
      <c r="B7" s="126">
        <f>Obligations!G10</f>
        <v/>
      </c>
      <c r="C7" s="126">
        <f>Debt_Principal+Pref_Notional_Total</f>
        <v/>
      </c>
      <c r="D7" s="127">
        <f>IF(ABS(B7-C7)&lt;0.01,"PASS","FAIL")</f>
        <v/>
      </c>
      <c r="E7" s="26" t="inlineStr">
        <is>
          <t>Claims stack adds up</t>
        </is>
      </c>
    </row>
    <row r="8">
      <c r="A8" s="42" t="inlineStr">
        <is>
          <t>Convertible coupon: schedule vs filed figure (2 x semi-annual)</t>
        </is>
      </c>
      <c r="B8" s="126">
        <f>Conv_Coupon_Sched</f>
        <v/>
      </c>
      <c r="C8" s="126">
        <f>2*Conv_Coupon_Semi</f>
        <v/>
      </c>
      <c r="D8" s="127">
        <f>IF(ABS(B8-C8)&lt;=1,"PASS","FAIL")</f>
        <v/>
      </c>
      <c r="E8" s="26" t="inlineStr">
        <is>
          <t>Debt inputs are consistent (within $1m)</t>
        </is>
      </c>
    </row>
    <row r="9">
      <c r="A9" s="42" t="inlineStr">
        <is>
          <t>Convertible principal (schedule) within reported debt</t>
        </is>
      </c>
      <c r="B9" s="126">
        <f>Conv_Principal_Sched</f>
        <v/>
      </c>
      <c r="C9" s="126">
        <f>Debt_Principal</f>
        <v/>
      </c>
      <c r="D9" s="127">
        <f>IF(B9&lt;=C9,"PASS","FAIL")</f>
        <v/>
      </c>
      <c r="E9" s="26" t="inlineStr">
        <is>
          <t>Schedule does not exceed reported debt</t>
        </is>
      </c>
    </row>
    <row r="10">
      <c r="A10" s="42" t="inlineStr">
        <is>
          <t>Charges reconcile to management's Aug 23 figure (bridge below)</t>
        </is>
      </c>
      <c r="B10" s="126">
        <f>Recon_Comparable</f>
        <v/>
      </c>
      <c r="C10" s="126">
        <f>Mgmt_Annual_Estimate</f>
        <v/>
      </c>
      <c r="D10" s="127">
        <f>IF(ABS(B10/C10-1)&lt;=Recon_Tolerance,"PASS","FAIL")</f>
        <v/>
      </c>
      <c r="E10" s="26" t="inlineStr">
        <is>
          <t>Model reproduces Strategy's own number once buybacks since Aug 23 are added back</t>
        </is>
      </c>
    </row>
    <row r="11">
      <c r="A11" s="42" t="inlineStr">
        <is>
          <t>Every input row has a source</t>
        </is>
      </c>
      <c r="B11" s="126">
        <f>SUMPRODUCT((Inputs!$B$6:$B$61&lt;&gt;"")*(Inputs!$E$6:$E$61=""))</f>
        <v/>
      </c>
      <c r="C11" s="126" t="n">
        <v>0</v>
      </c>
      <c r="D11" s="127">
        <f>IF(ABS(B11-C11)&lt;0.01,"PASS","FAIL")</f>
        <v/>
      </c>
      <c r="E11" s="26" t="inlineStr">
        <is>
          <t>Audit trail</t>
        </is>
      </c>
    </row>
    <row r="12">
      <c r="A12" s="42" t="inlineStr">
        <is>
          <t>Scenario selector matches a scenario</t>
        </is>
      </c>
      <c r="B12" s="126">
        <f>ISNUMBER(MATCH(Scenario_Select,Scenarios!$B$4:$F$4,0))</f>
        <v/>
      </c>
      <c r="C12" s="126" t="b">
        <v>1</v>
      </c>
      <c r="D12" s="127">
        <f>IF(B12=C12,"PASS","FAIL")</f>
        <v/>
      </c>
      <c r="E12" s="26" t="inlineStr">
        <is>
          <t>Live column resolves</t>
        </is>
      </c>
    </row>
    <row r="13">
      <c r="A13" s="42" t="inlineStr">
        <is>
          <t>Dashboard side-by-side, selected column = live coverage</t>
        </is>
      </c>
      <c r="B13" s="126">
        <f>INDEX(Cmp_Years,MATCH(Scenario_Select,Cmp_Heads,0))</f>
        <v/>
      </c>
      <c r="C13" s="126">
        <f>Cov_Years_Total</f>
        <v/>
      </c>
      <c r="D13" s="127">
        <f>IF(ABS(B13-C13)&lt;0.01,"PASS","FAIL")</f>
        <v/>
      </c>
      <c r="E13" s="26" t="inlineStr">
        <is>
          <t>Two independent routes to the same answer</t>
        </is>
      </c>
    </row>
    <row r="14">
      <c r="A14" s="42" t="inlineStr">
        <is>
          <t>Grid 2: coverage never rises as BTC falls</t>
        </is>
      </c>
      <c r="B14" s="126">
        <f>SUMPRODUCT(--(Stress!B21:H28&lt;Stress!B20:H27-0.000001))</f>
        <v/>
      </c>
      <c r="C14" s="126" t="n">
        <v>0</v>
      </c>
      <c r="D14" s="127">
        <f>IF(ABS(B14-C14)&lt;0.01,"PASS","FAIL")</f>
        <v/>
      </c>
      <c r="E14" s="26" t="inlineStr">
        <is>
          <t>Monotonic in BTC price</t>
        </is>
      </c>
    </row>
    <row r="15">
      <c r="A15" s="42" t="inlineStr">
        <is>
          <t>Grid 1: no common sales below the mNAV floor (gate on)</t>
        </is>
      </c>
      <c r="B15" s="126">
        <f>IF(Gate_On="Yes",SUMPRODUCT((Stress!B5:H5&lt;mNAV_Floor)*(Stress!B6:H15&lt;&gt;0)),0)</f>
        <v/>
      </c>
      <c r="C15" s="126" t="n">
        <v>0</v>
      </c>
      <c r="D15" s="127">
        <f>IF(ABS(B15-C15)&lt;0.01,"PASS","FAIL")</f>
        <v/>
      </c>
      <c r="E15" s="26" t="inlineStr">
        <is>
          <t>Gate works</t>
        </is>
      </c>
    </row>
    <row r="16">
      <c r="A16" s="42" t="inlineStr">
        <is>
          <t>BTC cover = live BTC price / 1.0x breakeven</t>
        </is>
      </c>
      <c r="B16" s="126">
        <f>BTC_Cover_Total</f>
        <v/>
      </c>
      <c r="C16" s="126">
        <f>L_BTC/BE_BTC_1x</f>
        <v/>
      </c>
      <c r="D16" s="127">
        <f>IF(ABS(B16-C16)&lt;0.01,"PASS","FAIL")</f>
        <v/>
      </c>
      <c r="E16" s="26" t="inlineStr">
        <is>
          <t>Two routes to the same number</t>
        </is>
      </c>
    </row>
    <row r="17">
      <c r="A17" s="42" t="inlineStr">
        <is>
          <t>Base implied MSTR price = observed price (Base selected only)</t>
        </is>
      </c>
      <c r="B17" s="126">
        <f>IF(Scenario_Select="Base",MSTR_Price_Live,MSTR_Price)</f>
        <v/>
      </c>
      <c r="C17" s="126">
        <f>MSTR_Price</f>
        <v/>
      </c>
      <c r="D17" s="127">
        <f>IF(ABS(B17-C17)&lt;0.01,"PASS","FAIL")</f>
        <v/>
      </c>
      <c r="E17" s="26" t="inlineStr">
        <is>
          <t>The market-cap bridge is internally consistent</t>
        </is>
      </c>
    </row>
    <row r="18">
      <c r="A18" s="42" t="inlineStr">
        <is>
          <t>Runway Q4 2026 closing = Reserve - (charges - common)</t>
        </is>
      </c>
      <c r="B18" s="126">
        <f>Obligations!B23</f>
        <v/>
      </c>
      <c r="C18" s="126">
        <f>Reserve_Live-(Obligations!B18-Obligations!B20)</f>
        <v/>
      </c>
      <c r="D18" s="127">
        <f>IF(ABS(B18-C18)&lt;0.01,"PASS","FAIL")</f>
        <v/>
      </c>
      <c r="E18" s="26" t="inlineStr">
        <is>
          <t>Roll-forward ties</t>
        </is>
      </c>
    </row>
    <row r="19">
      <c r="A19" s="42" t="inlineStr">
        <is>
          <t>Puts in window = schedule principal with puts Oct 2026-Sep 2028</t>
        </is>
      </c>
      <c r="B19" s="126">
        <f>Puts_In_Window</f>
        <v/>
      </c>
      <c r="C19" s="126">
        <f>SUMPRODUCT((Conv_PutDates&gt;=Obligations!B16)*(Conv_PutDates&lt;=Obligations!I17)*Conv_Principals)</f>
        <v/>
      </c>
      <c r="D19" s="127">
        <f>IF(ABS(B19-C19)&lt;0.01,"PASS","FAIL")</f>
        <v/>
      </c>
      <c r="E19" s="26" t="inlineStr">
        <is>
          <t>Quarter bucketing loses nothing</t>
        </is>
      </c>
    </row>
    <row r="20">
      <c r="A20" s="42" t="inlineStr">
        <is>
          <t>No errors in Liquidity, Coverage or Stress</t>
        </is>
      </c>
      <c r="B20" s="126">
        <f>SUMPRODUCT(--ISERROR(Liquidity!B5:B31))+SUMPRODUCT(--ISERROR(Coverage!B5:H10))+SUMPRODUCT(--ISERROR(Stress!B6:H43))</f>
        <v/>
      </c>
      <c r="C20" s="126" t="n">
        <v>0</v>
      </c>
      <c r="D20" s="127">
        <f>IF(ABS(B20-C20)&lt;0.01,"PASS","FAIL")</f>
        <v/>
      </c>
      <c r="E20" s="26" t="inlineStr">
        <is>
          <t>Zero formula errors</t>
        </is>
      </c>
    </row>
    <row r="22">
      <c r="A22" s="3" t="inlineStr">
        <is>
          <t>Overall</t>
        </is>
      </c>
      <c r="D22" s="127">
        <f>IF(COUNTIF(D5:D20,"PASS")=16,"ALL PASS","CHECK")</f>
        <v/>
      </c>
    </row>
    <row r="25">
      <c r="A25" s="40" t="inlineStr">
        <is>
          <t>Reconciliation bridge to management's $1.703B (Aug 23 2026). Base inputs, independent of the selected scenario</t>
        </is>
      </c>
      <c r="B25" s="41" t="n"/>
      <c r="C25" s="41" t="n"/>
      <c r="D25" s="41" t="n"/>
      <c r="E25" s="41" t="n"/>
    </row>
    <row r="26">
      <c r="A26" s="42" t="inlineStr">
        <is>
          <t>Debt interest</t>
        </is>
      </c>
      <c r="B26" s="84">
        <f>Conv_Interest_Annual</f>
        <v/>
      </c>
    </row>
    <row r="27">
      <c r="A27" s="42" t="inlineStr">
        <is>
          <t>STRF</t>
        </is>
      </c>
      <c r="B27" s="84">
        <f>Notional_STRF_In*Rate_STRF</f>
        <v/>
      </c>
    </row>
    <row r="28">
      <c r="A28" s="42" t="inlineStr">
        <is>
          <t>STRC at today's notional and base rate</t>
        </is>
      </c>
      <c r="B28" s="84">
        <f>STRC_Notional_Now*Rate_STRC_Base</f>
        <v/>
      </c>
    </row>
    <row r="29">
      <c r="A29" s="42" t="inlineStr">
        <is>
          <t>STRE at spot EUR/USD</t>
        </is>
      </c>
      <c r="B29" s="84">
        <f>Notional_STRE_EUR*EURUSD_Spot*Rate_STRE</f>
        <v/>
      </c>
    </row>
    <row r="30">
      <c r="A30" s="42" t="inlineStr">
        <is>
          <t>STRK (cash)</t>
        </is>
      </c>
      <c r="B30" s="84">
        <f>Notional_STRK_In*Rate_STRK</f>
        <v/>
      </c>
    </row>
    <row r="31">
      <c r="A31" s="42" t="inlineStr">
        <is>
          <t>STRD</t>
        </is>
      </c>
      <c r="B31" s="84">
        <f>Notional_STRD_In*Rate_STRD</f>
        <v/>
      </c>
    </row>
    <row r="32">
      <c r="A32" s="3" t="inlineStr">
        <is>
          <t>Model base charges today</t>
        </is>
      </c>
      <c r="B32" s="67">
        <f>SUM(B26:B31)</f>
        <v/>
      </c>
    </row>
    <row r="33">
      <c r="A33" s="42" t="inlineStr">
        <is>
          <t>plus: STRC dividends on shares bought back after Aug 23</t>
        </is>
      </c>
      <c r="B33" s="84">
        <f>STRC_Repurchased_Since_Aug23*STRC_LiqPref*Rate_STRC_Base</f>
        <v/>
      </c>
    </row>
    <row r="34">
      <c r="A34" s="3" t="inlineStr">
        <is>
          <t>Comparable to management's Aug 23 figure</t>
        </is>
      </c>
      <c r="B34" s="91">
        <f>B32+B33</f>
        <v/>
      </c>
    </row>
    <row r="35">
      <c r="A35" s="42" t="inlineStr">
        <is>
          <t>Management estimate (FWP, Aug 24 2026)</t>
        </is>
      </c>
      <c r="B35" s="83">
        <f>Mgmt_Annual_Estimate</f>
        <v/>
      </c>
    </row>
    <row r="36">
      <c r="A36" s="42" t="inlineStr">
        <is>
          <t>Gap</t>
        </is>
      </c>
      <c r="B36" s="84">
        <f>B34-B35</f>
        <v/>
      </c>
      <c r="C36" s="85">
        <f>B36/B35</f>
        <v/>
      </c>
      <c r="E36" s="26" t="inlineStr">
        <is>
          <t>Residual: EUR/USD then vs now and the estimated other-debt interest.</t>
        </is>
      </c>
    </row>
  </sheetData>
  <conditionalFormatting sqref="D5:D20">
    <cfRule type="cellIs" priority="1" operator="equal" dxfId="0">
      <formula>"PASS"</formula>
    </cfRule>
    <cfRule type="cellIs" priority="2" operator="equal" dxfId="1">
      <formula>"FAIL"</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2026-10-16T14:34:40Z</dcterms:created>
  <dcterms:modified xsi:type="dcterms:W3CDTF">2026-10-16T14:34:40Z</dcterms:modified>
</cp:coreProperties>
</file>